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C612A40B-4575-4D0D-9CAA-A2D9D364C45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ta" sheetId="1" r:id="rId1"/>
    <sheet name="Comparis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2" i="2"/>
  <c r="B21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5" i="2"/>
  <c r="D9" i="2"/>
  <c r="C9" i="2"/>
  <c r="B9" i="2"/>
  <c r="B6" i="2"/>
  <c r="D4" i="2"/>
  <c r="C4" i="2"/>
  <c r="B4" i="2"/>
  <c r="D8" i="2"/>
  <c r="C8" i="2"/>
  <c r="B8" i="2"/>
  <c r="D7" i="2"/>
  <c r="C6" i="2"/>
  <c r="C7" i="2"/>
  <c r="B7" i="2"/>
  <c r="D6" i="2"/>
  <c r="B5" i="2"/>
  <c r="E502" i="1"/>
  <c r="C5" i="2"/>
  <c r="B2" i="2"/>
  <c r="D3" i="2"/>
  <c r="C3" i="2"/>
  <c r="D2" i="2"/>
  <c r="B3" i="2"/>
  <c r="C2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4" i="1"/>
  <c r="F3" i="1"/>
  <c r="E3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8" i="1"/>
  <c r="E9" i="1"/>
  <c r="E10" i="1"/>
  <c r="E11" i="1"/>
  <c r="E12" i="1"/>
  <c r="E13" i="1"/>
  <c r="E14" i="1"/>
  <c r="E15" i="1"/>
  <c r="E16" i="1"/>
  <c r="E17" i="1"/>
  <c r="E18" i="1"/>
  <c r="E19" i="1"/>
  <c r="E4" i="1"/>
  <c r="E5" i="1"/>
  <c r="E6" i="1"/>
  <c r="E7" i="1"/>
</calcChain>
</file>

<file path=xl/sharedStrings.xml><?xml version="1.0" encoding="utf-8"?>
<sst xmlns="http://schemas.openxmlformats.org/spreadsheetml/2006/main" count="28" uniqueCount="25">
  <si>
    <t>Date</t>
  </si>
  <si>
    <t>AAPL</t>
  </si>
  <si>
    <t>MSFT</t>
  </si>
  <si>
    <t>GOOGL</t>
  </si>
  <si>
    <t>AAPLE RETURN</t>
  </si>
  <si>
    <t>MSFT RETURN</t>
  </si>
  <si>
    <t>GOOGL RETURN</t>
  </si>
  <si>
    <t>Metric</t>
  </si>
  <si>
    <t>Start Price</t>
  </si>
  <si>
    <t>End Price</t>
  </si>
  <si>
    <t>Total Return</t>
  </si>
  <si>
    <t>Avg Daily Return</t>
  </si>
  <si>
    <t>Daily Volatility</t>
  </si>
  <si>
    <t>Best Day</t>
  </si>
  <si>
    <t>Worst Day</t>
  </si>
  <si>
    <t>Annual Return</t>
  </si>
  <si>
    <t>Annual Volatility</t>
  </si>
  <si>
    <t>Sharpe Ratio</t>
  </si>
  <si>
    <t>Win Rate</t>
  </si>
  <si>
    <t>Risk/Return Ratio</t>
  </si>
  <si>
    <t>Max Drawdown</t>
  </si>
  <si>
    <t>CORRELATION MATRIX</t>
  </si>
  <si>
    <t>AAPL-MSFT</t>
  </si>
  <si>
    <t>AAPL-GOOGL</t>
  </si>
  <si>
    <t>MSFT-GOOGL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</si>
</sst>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</fonts>
  <fills count="6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4" fontId="1" fillId="3" borderId="1" xfId="0" applyNumberFormat="1" applyFont="1" applyFill="1" applyBorder="1"/>
    <xf numFmtId="0" fontId="2" fillId="0" borderId="1" xfId="0" applyFont="1" applyBorder="1"/>
    <xf numFmtId="10" fontId="0" fillId="0" borderId="0" xfId="0" applyNumberFormat="1"/>
    <xf numFmtId="10" fontId="0" fillId="4" borderId="0" xfId="0" applyNumberFormat="1" applyFill="1"/>
    <xf numFmtId="2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Price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data!$B$2:$B$515</c:f>
              <c:numCache>
                <c:formatCode>General</c:formatCode>
                <c:ptCount val="514"/>
                <c:pt idx="0">
                  <c:v>169.82</c:v>
                </c:pt>
                <c:pt idx="1">
                  <c:v>170.73</c:v>
                </c:pt>
                <c:pt idx="2">
                  <c:v>169.31</c:v>
                </c:pt>
                <c:pt idx="3">
                  <c:v>168.18</c:v>
                </c:pt>
                <c:pt idx="4">
                  <c:v>171.75</c:v>
                </c:pt>
                <c:pt idx="5">
                  <c:v>169.93</c:v>
                </c:pt>
                <c:pt idx="6">
                  <c:v>168.5</c:v>
                </c:pt>
                <c:pt idx="7">
                  <c:v>167.32</c:v>
                </c:pt>
                <c:pt idx="8">
                  <c:v>168.12</c:v>
                </c:pt>
                <c:pt idx="9">
                  <c:v>167.3</c:v>
                </c:pt>
                <c:pt idx="10">
                  <c:v>168.05</c:v>
                </c:pt>
                <c:pt idx="11">
                  <c:v>166.93</c:v>
                </c:pt>
                <c:pt idx="12">
                  <c:v>168.14</c:v>
                </c:pt>
                <c:pt idx="13">
                  <c:v>166.27</c:v>
                </c:pt>
                <c:pt idx="14">
                  <c:v>173.46</c:v>
                </c:pt>
                <c:pt idx="15">
                  <c:v>174.96</c:v>
                </c:pt>
                <c:pt idx="16">
                  <c:v>171.13</c:v>
                </c:pt>
                <c:pt idx="17">
                  <c:v>167.85</c:v>
                </c:pt>
                <c:pt idx="18">
                  <c:v>166.48</c:v>
                </c:pt>
                <c:pt idx="19">
                  <c:v>165.53</c:v>
                </c:pt>
                <c:pt idx="20">
                  <c:v>163.51</c:v>
                </c:pt>
                <c:pt idx="21">
                  <c:v>164.34</c:v>
                </c:pt>
                <c:pt idx="22">
                  <c:v>165.39</c:v>
                </c:pt>
                <c:pt idx="23">
                  <c:v>167.5</c:v>
                </c:pt>
                <c:pt idx="24">
                  <c:v>168.36</c:v>
                </c:pt>
                <c:pt idx="25">
                  <c:v>167.77</c:v>
                </c:pt>
                <c:pt idx="26">
                  <c:v>171.94</c:v>
                </c:pt>
                <c:pt idx="27">
                  <c:v>168.79</c:v>
                </c:pt>
                <c:pt idx="28">
                  <c:v>167.77</c:v>
                </c:pt>
                <c:pt idx="29">
                  <c:v>171.47</c:v>
                </c:pt>
                <c:pt idx="30">
                  <c:v>181.73</c:v>
                </c:pt>
                <c:pt idx="31">
                  <c:v>180.07</c:v>
                </c:pt>
                <c:pt idx="32">
                  <c:v>180.75</c:v>
                </c:pt>
                <c:pt idx="33">
                  <c:v>181.09</c:v>
                </c:pt>
                <c:pt idx="34">
                  <c:v>182.91</c:v>
                </c:pt>
                <c:pt idx="35">
                  <c:v>181.65</c:v>
                </c:pt>
                <c:pt idx="36">
                  <c:v>184.85</c:v>
                </c:pt>
                <c:pt idx="37">
                  <c:v>185.99</c:v>
                </c:pt>
                <c:pt idx="38">
                  <c:v>188.26</c:v>
                </c:pt>
                <c:pt idx="39">
                  <c:v>188.38</c:v>
                </c:pt>
                <c:pt idx="40">
                  <c:v>188.41</c:v>
                </c:pt>
                <c:pt idx="41">
                  <c:v>189.57</c:v>
                </c:pt>
                <c:pt idx="42">
                  <c:v>190.87</c:v>
                </c:pt>
                <c:pt idx="43">
                  <c:v>189.43</c:v>
                </c:pt>
                <c:pt idx="44">
                  <c:v>185.45</c:v>
                </c:pt>
                <c:pt idx="45">
                  <c:v>188.52</c:v>
                </c:pt>
                <c:pt idx="46">
                  <c:v>188.53</c:v>
                </c:pt>
                <c:pt idx="47">
                  <c:v>188.83</c:v>
                </c:pt>
                <c:pt idx="48">
                  <c:v>189.82</c:v>
                </c:pt>
                <c:pt idx="49">
                  <c:v>190.77</c:v>
                </c:pt>
                <c:pt idx="50">
                  <c:v>192.54</c:v>
                </c:pt>
                <c:pt idx="51">
                  <c:v>192.86</c:v>
                </c:pt>
                <c:pt idx="52">
                  <c:v>194.37</c:v>
                </c:pt>
                <c:pt idx="53">
                  <c:v>192.99</c:v>
                </c:pt>
                <c:pt idx="54">
                  <c:v>195.38</c:v>
                </c:pt>
                <c:pt idx="55">
                  <c:v>191.64</c:v>
                </c:pt>
                <c:pt idx="56">
                  <c:v>205.56</c:v>
                </c:pt>
                <c:pt idx="57">
                  <c:v>211.43</c:v>
                </c:pt>
                <c:pt idx="58">
                  <c:v>212.6</c:v>
                </c:pt>
                <c:pt idx="59">
                  <c:v>210.86</c:v>
                </c:pt>
                <c:pt idx="60">
                  <c:v>215.01</c:v>
                </c:pt>
                <c:pt idx="61">
                  <c:v>212.65</c:v>
                </c:pt>
                <c:pt idx="62">
                  <c:v>208.07</c:v>
                </c:pt>
                <c:pt idx="63">
                  <c:v>205.9</c:v>
                </c:pt>
                <c:pt idx="64">
                  <c:v>206.54</c:v>
                </c:pt>
                <c:pt idx="65">
                  <c:v>207.47</c:v>
                </c:pt>
                <c:pt idx="66">
                  <c:v>211.61</c:v>
                </c:pt>
                <c:pt idx="67">
                  <c:v>212.46</c:v>
                </c:pt>
                <c:pt idx="68">
                  <c:v>209</c:v>
                </c:pt>
                <c:pt idx="69">
                  <c:v>215.09</c:v>
                </c:pt>
                <c:pt idx="70">
                  <c:v>218.58</c:v>
                </c:pt>
                <c:pt idx="71">
                  <c:v>219.85</c:v>
                </c:pt>
                <c:pt idx="72">
                  <c:v>224.6</c:v>
                </c:pt>
                <c:pt idx="73">
                  <c:v>226.07</c:v>
                </c:pt>
                <c:pt idx="74">
                  <c:v>226.92</c:v>
                </c:pt>
                <c:pt idx="75">
                  <c:v>231.19</c:v>
                </c:pt>
                <c:pt idx="76">
                  <c:v>225.82</c:v>
                </c:pt>
                <c:pt idx="77">
                  <c:v>228.77</c:v>
                </c:pt>
                <c:pt idx="78">
                  <c:v>232.6</c:v>
                </c:pt>
                <c:pt idx="79">
                  <c:v>233.02</c:v>
                </c:pt>
                <c:pt idx="80">
                  <c:v>227.12</c:v>
                </c:pt>
                <c:pt idx="81">
                  <c:v>222.46</c:v>
                </c:pt>
                <c:pt idx="82">
                  <c:v>222.59</c:v>
                </c:pt>
                <c:pt idx="83">
                  <c:v>222.24</c:v>
                </c:pt>
                <c:pt idx="84">
                  <c:v>223.28</c:v>
                </c:pt>
                <c:pt idx="85">
                  <c:v>216.86</c:v>
                </c:pt>
                <c:pt idx="86">
                  <c:v>215.82</c:v>
                </c:pt>
                <c:pt idx="87">
                  <c:v>216.29</c:v>
                </c:pt>
                <c:pt idx="88">
                  <c:v>216.57</c:v>
                </c:pt>
                <c:pt idx="89">
                  <c:v>217.12</c:v>
                </c:pt>
                <c:pt idx="90">
                  <c:v>220.38</c:v>
                </c:pt>
                <c:pt idx="91">
                  <c:v>216.68</c:v>
                </c:pt>
                <c:pt idx="92">
                  <c:v>218.17</c:v>
                </c:pt>
                <c:pt idx="93">
                  <c:v>207.66</c:v>
                </c:pt>
                <c:pt idx="94">
                  <c:v>205.64</c:v>
                </c:pt>
                <c:pt idx="95">
                  <c:v>208.21</c:v>
                </c:pt>
                <c:pt idx="96">
                  <c:v>211.67</c:v>
                </c:pt>
                <c:pt idx="97">
                  <c:v>214.58</c:v>
                </c:pt>
                <c:pt idx="98">
                  <c:v>216.11</c:v>
                </c:pt>
                <c:pt idx="99">
                  <c:v>219.83</c:v>
                </c:pt>
                <c:pt idx="100">
                  <c:v>220.27</c:v>
                </c:pt>
                <c:pt idx="101">
                  <c:v>223.25</c:v>
                </c:pt>
                <c:pt idx="102">
                  <c:v>224.57</c:v>
                </c:pt>
                <c:pt idx="103">
                  <c:v>224.42</c:v>
                </c:pt>
                <c:pt idx="104">
                  <c:v>225.03</c:v>
                </c:pt>
                <c:pt idx="105">
                  <c:v>224.92</c:v>
                </c:pt>
                <c:pt idx="106">
                  <c:v>223.06</c:v>
                </c:pt>
                <c:pt idx="107">
                  <c:v>225.36</c:v>
                </c:pt>
                <c:pt idx="108">
                  <c:v>225.7</c:v>
                </c:pt>
                <c:pt idx="109">
                  <c:v>226.54</c:v>
                </c:pt>
                <c:pt idx="110">
                  <c:v>225.01</c:v>
                </c:pt>
                <c:pt idx="111">
                  <c:v>228.29</c:v>
                </c:pt>
                <c:pt idx="112">
                  <c:v>227.51</c:v>
                </c:pt>
                <c:pt idx="113">
                  <c:v>221.32</c:v>
                </c:pt>
                <c:pt idx="114">
                  <c:v>219.41</c:v>
                </c:pt>
                <c:pt idx="115">
                  <c:v>220.93</c:v>
                </c:pt>
                <c:pt idx="116">
                  <c:v>219.38</c:v>
                </c:pt>
                <c:pt idx="117">
                  <c:v>219.47</c:v>
                </c:pt>
                <c:pt idx="118">
                  <c:v>218.67</c:v>
                </c:pt>
                <c:pt idx="119">
                  <c:v>221.21</c:v>
                </c:pt>
                <c:pt idx="120">
                  <c:v>221.32</c:v>
                </c:pt>
                <c:pt idx="121">
                  <c:v>221.05</c:v>
                </c:pt>
                <c:pt idx="122">
                  <c:v>214.91</c:v>
                </c:pt>
                <c:pt idx="123">
                  <c:v>215.38</c:v>
                </c:pt>
                <c:pt idx="124">
                  <c:v>219.25</c:v>
                </c:pt>
                <c:pt idx="125">
                  <c:v>227.38</c:v>
                </c:pt>
                <c:pt idx="126">
                  <c:v>226.71</c:v>
                </c:pt>
                <c:pt idx="127">
                  <c:v>224.99</c:v>
                </c:pt>
                <c:pt idx="128">
                  <c:v>225.89</c:v>
                </c:pt>
                <c:pt idx="129">
                  <c:v>224.89</c:v>
                </c:pt>
                <c:pt idx="130">
                  <c:v>226.04</c:v>
                </c:pt>
                <c:pt idx="131">
                  <c:v>226.3</c:v>
                </c:pt>
                <c:pt idx="132">
                  <c:v>231.48</c:v>
                </c:pt>
                <c:pt idx="133">
                  <c:v>224.73</c:v>
                </c:pt>
                <c:pt idx="134">
                  <c:v>225.3</c:v>
                </c:pt>
                <c:pt idx="135">
                  <c:v>224.2</c:v>
                </c:pt>
                <c:pt idx="136">
                  <c:v>225.32</c:v>
                </c:pt>
                <c:pt idx="137">
                  <c:v>220.24</c:v>
                </c:pt>
                <c:pt idx="138">
                  <c:v>224.3</c:v>
                </c:pt>
                <c:pt idx="139">
                  <c:v>228.04</c:v>
                </c:pt>
                <c:pt idx="140">
                  <c:v>227.55</c:v>
                </c:pt>
                <c:pt idx="141">
                  <c:v>226.06</c:v>
                </c:pt>
                <c:pt idx="142">
                  <c:v>229.79</c:v>
                </c:pt>
                <c:pt idx="143">
                  <c:v>232.32</c:v>
                </c:pt>
                <c:pt idx="144">
                  <c:v>230.27</c:v>
                </c:pt>
                <c:pt idx="145">
                  <c:v>230.63</c:v>
                </c:pt>
                <c:pt idx="146">
                  <c:v>233.47</c:v>
                </c:pt>
                <c:pt idx="147">
                  <c:v>234.94</c:v>
                </c:pt>
                <c:pt idx="148">
                  <c:v>234.32</c:v>
                </c:pt>
                <c:pt idx="149">
                  <c:v>229.25</c:v>
                </c:pt>
                <c:pt idx="150">
                  <c:v>229.07</c:v>
                </c:pt>
                <c:pt idx="151">
                  <c:v>229.9</c:v>
                </c:pt>
                <c:pt idx="152">
                  <c:v>231.88</c:v>
                </c:pt>
                <c:pt idx="153">
                  <c:v>232.15</c:v>
                </c:pt>
                <c:pt idx="154">
                  <c:v>228.6</c:v>
                </c:pt>
                <c:pt idx="155">
                  <c:v>224.44</c:v>
                </c:pt>
                <c:pt idx="156">
                  <c:v>221.46</c:v>
                </c:pt>
                <c:pt idx="157">
                  <c:v>220.56</c:v>
                </c:pt>
                <c:pt idx="158">
                  <c:v>221.99</c:v>
                </c:pt>
                <c:pt idx="159">
                  <c:v>221.27</c:v>
                </c:pt>
                <c:pt idx="160">
                  <c:v>226</c:v>
                </c:pt>
                <c:pt idx="161">
                  <c:v>225.73</c:v>
                </c:pt>
                <c:pt idx="162">
                  <c:v>223.01</c:v>
                </c:pt>
                <c:pt idx="163">
                  <c:v>223.01</c:v>
                </c:pt>
                <c:pt idx="164">
                  <c:v>223.9</c:v>
                </c:pt>
                <c:pt idx="165">
                  <c:v>226.98</c:v>
                </c:pt>
                <c:pt idx="166">
                  <c:v>223.78</c:v>
                </c:pt>
                <c:pt idx="167">
                  <c:v>226.78</c:v>
                </c:pt>
                <c:pt idx="168">
                  <c:v>227.04</c:v>
                </c:pt>
                <c:pt idx="169">
                  <c:v>227.76</c:v>
                </c:pt>
                <c:pt idx="170">
                  <c:v>227.28</c:v>
                </c:pt>
                <c:pt idx="171">
                  <c:v>228.62</c:v>
                </c:pt>
                <c:pt idx="172">
                  <c:v>231.6</c:v>
                </c:pt>
                <c:pt idx="173">
                  <c:v>233.78</c:v>
                </c:pt>
                <c:pt idx="174">
                  <c:v>233.65</c:v>
                </c:pt>
                <c:pt idx="175">
                  <c:v>236.04</c:v>
                </c:pt>
                <c:pt idx="176">
                  <c:v>238.29</c:v>
                </c:pt>
                <c:pt idx="177">
                  <c:v>241.33</c:v>
                </c:pt>
                <c:pt idx="178">
                  <c:v>241.69</c:v>
                </c:pt>
                <c:pt idx="179">
                  <c:v>241.72</c:v>
                </c:pt>
                <c:pt idx="180">
                  <c:v>241.52</c:v>
                </c:pt>
                <c:pt idx="181">
                  <c:v>245.41</c:v>
                </c:pt>
                <c:pt idx="182">
                  <c:v>246.42</c:v>
                </c:pt>
                <c:pt idx="183">
                  <c:v>245.15</c:v>
                </c:pt>
                <c:pt idx="184">
                  <c:v>246.61</c:v>
                </c:pt>
                <c:pt idx="185">
                  <c:v>246.78</c:v>
                </c:pt>
                <c:pt idx="186">
                  <c:v>249.68</c:v>
                </c:pt>
                <c:pt idx="187">
                  <c:v>252.1</c:v>
                </c:pt>
                <c:pt idx="188">
                  <c:v>246.7</c:v>
                </c:pt>
                <c:pt idx="189">
                  <c:v>248.43</c:v>
                </c:pt>
                <c:pt idx="190">
                  <c:v>253.11</c:v>
                </c:pt>
                <c:pt idx="191">
                  <c:v>253.88</c:v>
                </c:pt>
                <c:pt idx="192">
                  <c:v>256.8</c:v>
                </c:pt>
                <c:pt idx="193">
                  <c:v>257.61</c:v>
                </c:pt>
                <c:pt idx="194">
                  <c:v>254.2</c:v>
                </c:pt>
                <c:pt idx="195">
                  <c:v>250.83</c:v>
                </c:pt>
                <c:pt idx="196">
                  <c:v>249.06</c:v>
                </c:pt>
                <c:pt idx="197">
                  <c:v>242.53</c:v>
                </c:pt>
                <c:pt idx="198">
                  <c:v>242.04</c:v>
                </c:pt>
                <c:pt idx="199">
                  <c:v>243.67</c:v>
                </c:pt>
                <c:pt idx="200">
                  <c:v>240.89</c:v>
                </c:pt>
                <c:pt idx="201">
                  <c:v>241.38</c:v>
                </c:pt>
                <c:pt idx="202">
                  <c:v>235.56</c:v>
                </c:pt>
                <c:pt idx="203">
                  <c:v>233.13</c:v>
                </c:pt>
                <c:pt idx="204">
                  <c:v>232.01</c:v>
                </c:pt>
                <c:pt idx="205">
                  <c:v>236.58</c:v>
                </c:pt>
                <c:pt idx="206">
                  <c:v>227.02</c:v>
                </c:pt>
                <c:pt idx="207">
                  <c:v>228.73</c:v>
                </c:pt>
                <c:pt idx="208">
                  <c:v>221.43</c:v>
                </c:pt>
                <c:pt idx="209">
                  <c:v>222.61</c:v>
                </c:pt>
                <c:pt idx="210">
                  <c:v>222.44</c:v>
                </c:pt>
                <c:pt idx="211">
                  <c:v>221.57</c:v>
                </c:pt>
                <c:pt idx="212">
                  <c:v>228.61</c:v>
                </c:pt>
                <c:pt idx="213">
                  <c:v>236.97</c:v>
                </c:pt>
                <c:pt idx="214">
                  <c:v>238.06</c:v>
                </c:pt>
                <c:pt idx="215">
                  <c:v>236.3</c:v>
                </c:pt>
                <c:pt idx="216">
                  <c:v>234.72</c:v>
                </c:pt>
                <c:pt idx="217">
                  <c:v>226.77</c:v>
                </c:pt>
                <c:pt idx="218">
                  <c:v>231.54</c:v>
                </c:pt>
                <c:pt idx="219">
                  <c:v>231.21</c:v>
                </c:pt>
                <c:pt idx="220">
                  <c:v>231.95</c:v>
                </c:pt>
                <c:pt idx="221">
                  <c:v>226.39</c:v>
                </c:pt>
                <c:pt idx="222">
                  <c:v>226.66</c:v>
                </c:pt>
                <c:pt idx="223">
                  <c:v>231.61</c:v>
                </c:pt>
                <c:pt idx="224">
                  <c:v>235.84</c:v>
                </c:pt>
                <c:pt idx="225">
                  <c:v>240.48</c:v>
                </c:pt>
                <c:pt idx="226">
                  <c:v>243.54</c:v>
                </c:pt>
                <c:pt idx="227">
                  <c:v>243.41</c:v>
                </c:pt>
                <c:pt idx="228">
                  <c:v>243.81</c:v>
                </c:pt>
                <c:pt idx="229">
                  <c:v>244.76</c:v>
                </c:pt>
                <c:pt idx="230">
                  <c:v>244.48</c:v>
                </c:pt>
                <c:pt idx="231">
                  <c:v>246.03</c:v>
                </c:pt>
                <c:pt idx="232">
                  <c:v>245.97</c:v>
                </c:pt>
                <c:pt idx="233">
                  <c:v>239.32</c:v>
                </c:pt>
                <c:pt idx="234">
                  <c:v>236.27</c:v>
                </c:pt>
                <c:pt idx="235">
                  <c:v>240.79</c:v>
                </c:pt>
                <c:pt idx="236">
                  <c:v>237</c:v>
                </c:pt>
                <c:pt idx="237">
                  <c:v>234.91</c:v>
                </c:pt>
                <c:pt idx="238">
                  <c:v>234.72</c:v>
                </c:pt>
                <c:pt idx="239">
                  <c:v>234.31</c:v>
                </c:pt>
                <c:pt idx="240">
                  <c:v>238.03</c:v>
                </c:pt>
                <c:pt idx="241">
                  <c:v>226.49</c:v>
                </c:pt>
                <c:pt idx="242">
                  <c:v>219.88</c:v>
                </c:pt>
                <c:pt idx="243">
                  <c:v>216.04</c:v>
                </c:pt>
                <c:pt idx="244">
                  <c:v>208.77</c:v>
                </c:pt>
                <c:pt idx="245">
                  <c:v>212.56</c:v>
                </c:pt>
                <c:pt idx="246">
                  <c:v>213.07</c:v>
                </c:pt>
                <c:pt idx="247">
                  <c:v>211.77</c:v>
                </c:pt>
                <c:pt idx="248">
                  <c:v>214.31</c:v>
                </c:pt>
                <c:pt idx="249">
                  <c:v>213.17</c:v>
                </c:pt>
                <c:pt idx="250">
                  <c:v>217.32</c:v>
                </c:pt>
                <c:pt idx="251">
                  <c:v>219.77</c:v>
                </c:pt>
                <c:pt idx="252">
                  <c:v>222.78</c:v>
                </c:pt>
                <c:pt idx="253">
                  <c:v>220.57</c:v>
                </c:pt>
                <c:pt idx="254">
                  <c:v>222.88</c:v>
                </c:pt>
                <c:pt idx="255">
                  <c:v>216.95</c:v>
                </c:pt>
                <c:pt idx="256">
                  <c:v>221.17</c:v>
                </c:pt>
                <c:pt idx="257">
                  <c:v>222.22</c:v>
                </c:pt>
                <c:pt idx="258">
                  <c:v>222.92</c:v>
                </c:pt>
                <c:pt idx="259">
                  <c:v>202.31</c:v>
                </c:pt>
                <c:pt idx="260">
                  <c:v>187.56</c:v>
                </c:pt>
                <c:pt idx="261">
                  <c:v>180.67</c:v>
                </c:pt>
                <c:pt idx="262">
                  <c:v>171.67</c:v>
                </c:pt>
                <c:pt idx="263">
                  <c:v>197.99</c:v>
                </c:pt>
                <c:pt idx="264">
                  <c:v>189.59</c:v>
                </c:pt>
                <c:pt idx="265">
                  <c:v>197.29</c:v>
                </c:pt>
                <c:pt idx="266">
                  <c:v>201.64</c:v>
                </c:pt>
                <c:pt idx="267">
                  <c:v>201.26</c:v>
                </c:pt>
                <c:pt idx="268">
                  <c:v>193.43</c:v>
                </c:pt>
                <c:pt idx="269">
                  <c:v>196.13</c:v>
                </c:pt>
                <c:pt idx="270">
                  <c:v>192.32</c:v>
                </c:pt>
                <c:pt idx="271">
                  <c:v>198.87</c:v>
                </c:pt>
                <c:pt idx="272">
                  <c:v>203.71</c:v>
                </c:pt>
                <c:pt idx="273">
                  <c:v>207.47</c:v>
                </c:pt>
                <c:pt idx="274">
                  <c:v>208.37</c:v>
                </c:pt>
                <c:pt idx="275">
                  <c:v>209.23</c:v>
                </c:pt>
                <c:pt idx="276">
                  <c:v>210.29</c:v>
                </c:pt>
                <c:pt idx="277">
                  <c:v>211.58</c:v>
                </c:pt>
                <c:pt idx="278">
                  <c:v>212.39</c:v>
                </c:pt>
                <c:pt idx="279">
                  <c:v>204.46</c:v>
                </c:pt>
                <c:pt idx="280">
                  <c:v>198.03</c:v>
                </c:pt>
                <c:pt idx="281">
                  <c:v>197.65</c:v>
                </c:pt>
                <c:pt idx="282">
                  <c:v>195.4</c:v>
                </c:pt>
                <c:pt idx="283">
                  <c:v>196.63</c:v>
                </c:pt>
                <c:pt idx="284">
                  <c:v>197.67</c:v>
                </c:pt>
                <c:pt idx="285">
                  <c:v>210.15</c:v>
                </c:pt>
                <c:pt idx="286">
                  <c:v>212.28</c:v>
                </c:pt>
                <c:pt idx="287">
                  <c:v>211.69</c:v>
                </c:pt>
                <c:pt idx="288">
                  <c:v>210.81</c:v>
                </c:pt>
                <c:pt idx="289">
                  <c:v>210.62</c:v>
                </c:pt>
                <c:pt idx="290">
                  <c:v>208.15</c:v>
                </c:pt>
                <c:pt idx="291">
                  <c:v>206.23</c:v>
                </c:pt>
                <c:pt idx="292">
                  <c:v>201.48</c:v>
                </c:pt>
                <c:pt idx="293">
                  <c:v>200.75</c:v>
                </c:pt>
                <c:pt idx="294">
                  <c:v>194.68</c:v>
                </c:pt>
                <c:pt idx="295">
                  <c:v>199.6</c:v>
                </c:pt>
                <c:pt idx="296">
                  <c:v>199.81</c:v>
                </c:pt>
                <c:pt idx="297">
                  <c:v>199.34</c:v>
                </c:pt>
                <c:pt idx="298">
                  <c:v>200.24</c:v>
                </c:pt>
                <c:pt idx="299">
                  <c:v>201.09</c:v>
                </c:pt>
                <c:pt idx="300">
                  <c:v>202.65</c:v>
                </c:pt>
                <c:pt idx="301">
                  <c:v>202.2</c:v>
                </c:pt>
                <c:pt idx="302">
                  <c:v>200.02</c:v>
                </c:pt>
                <c:pt idx="303">
                  <c:v>203.3</c:v>
                </c:pt>
                <c:pt idx="304">
                  <c:v>200.84</c:v>
                </c:pt>
                <c:pt idx="305">
                  <c:v>202.06</c:v>
                </c:pt>
                <c:pt idx="306">
                  <c:v>198.18</c:v>
                </c:pt>
                <c:pt idx="307">
                  <c:v>198.6</c:v>
                </c:pt>
                <c:pt idx="308">
                  <c:v>195.85</c:v>
                </c:pt>
                <c:pt idx="309">
                  <c:v>197.82</c:v>
                </c:pt>
                <c:pt idx="310">
                  <c:v>195.05</c:v>
                </c:pt>
                <c:pt idx="311">
                  <c:v>195.98</c:v>
                </c:pt>
                <c:pt idx="312">
                  <c:v>200.39</c:v>
                </c:pt>
                <c:pt idx="313">
                  <c:v>200.89</c:v>
                </c:pt>
                <c:pt idx="314">
                  <c:v>199.69</c:v>
                </c:pt>
                <c:pt idx="315">
                  <c:v>200.95</c:v>
                </c:pt>
                <c:pt idx="316">
                  <c:v>200.39</c:v>
                </c:pt>
                <c:pt idx="317">
                  <c:v>200.47</c:v>
                </c:pt>
                <c:pt idx="318">
                  <c:v>204.55</c:v>
                </c:pt>
                <c:pt idx="319">
                  <c:v>207.19</c:v>
                </c:pt>
                <c:pt idx="320">
                  <c:v>211.8</c:v>
                </c:pt>
                <c:pt idx="321">
                  <c:v>212.9</c:v>
                </c:pt>
                <c:pt idx="322">
                  <c:v>209.31</c:v>
                </c:pt>
                <c:pt idx="323">
                  <c:v>209.37</c:v>
                </c:pt>
                <c:pt idx="324">
                  <c:v>210.5</c:v>
                </c:pt>
                <c:pt idx="325">
                  <c:v>211.77</c:v>
                </c:pt>
                <c:pt idx="326">
                  <c:v>210.52</c:v>
                </c:pt>
                <c:pt idx="327">
                  <c:v>207.99</c:v>
                </c:pt>
                <c:pt idx="328">
                  <c:v>208.48</c:v>
                </c:pt>
                <c:pt idx="329">
                  <c:v>209.52</c:v>
                </c:pt>
                <c:pt idx="330">
                  <c:v>209.38</c:v>
                </c:pt>
                <c:pt idx="331">
                  <c:v>210.54</c:v>
                </c:pt>
                <c:pt idx="332">
                  <c:v>211.84</c:v>
                </c:pt>
                <c:pt idx="333">
                  <c:v>213.75</c:v>
                </c:pt>
                <c:pt idx="334">
                  <c:v>213.5</c:v>
                </c:pt>
                <c:pt idx="335">
                  <c:v>213.11</c:v>
                </c:pt>
                <c:pt idx="336">
                  <c:v>213.23</c:v>
                </c:pt>
                <c:pt idx="337">
                  <c:v>213.4</c:v>
                </c:pt>
                <c:pt idx="338">
                  <c:v>210.63</c:v>
                </c:pt>
                <c:pt idx="339">
                  <c:v>208.42</c:v>
                </c:pt>
                <c:pt idx="340">
                  <c:v>206.94</c:v>
                </c:pt>
                <c:pt idx="341">
                  <c:v>201.77</c:v>
                </c:pt>
                <c:pt idx="342">
                  <c:v>202.73</c:v>
                </c:pt>
                <c:pt idx="343">
                  <c:v>202.3</c:v>
                </c:pt>
                <c:pt idx="344">
                  <c:v>212.6</c:v>
                </c:pt>
                <c:pt idx="345">
                  <c:v>219.36</c:v>
                </c:pt>
                <c:pt idx="346">
                  <c:v>228.65</c:v>
                </c:pt>
                <c:pt idx="347">
                  <c:v>226.75</c:v>
                </c:pt>
                <c:pt idx="348">
                  <c:v>229.21</c:v>
                </c:pt>
                <c:pt idx="349">
                  <c:v>232.89</c:v>
                </c:pt>
                <c:pt idx="350">
                  <c:v>232.34</c:v>
                </c:pt>
                <c:pt idx="351">
                  <c:v>231.15</c:v>
                </c:pt>
                <c:pt idx="352">
                  <c:v>230.45</c:v>
                </c:pt>
                <c:pt idx="353">
                  <c:v>230.12</c:v>
                </c:pt>
                <c:pt idx="354">
                  <c:v>225.58</c:v>
                </c:pt>
                <c:pt idx="355">
                  <c:v>224.47</c:v>
                </c:pt>
                <c:pt idx="356">
                  <c:v>227.33</c:v>
                </c:pt>
                <c:pt idx="357">
                  <c:v>226.73</c:v>
                </c:pt>
                <c:pt idx="358">
                  <c:v>228.87</c:v>
                </c:pt>
                <c:pt idx="359">
                  <c:v>230.05</c:v>
                </c:pt>
                <c:pt idx="360">
                  <c:v>232.12</c:v>
                </c:pt>
                <c:pt idx="361">
                  <c:v>231.7</c:v>
                </c:pt>
                <c:pt idx="362">
                  <c:v>229.28</c:v>
                </c:pt>
                <c:pt idx="363">
                  <c:v>238.02</c:v>
                </c:pt>
                <c:pt idx="364">
                  <c:v>239.32</c:v>
                </c:pt>
                <c:pt idx="365">
                  <c:v>239.23</c:v>
                </c:pt>
                <c:pt idx="366">
                  <c:v>237.43</c:v>
                </c:pt>
                <c:pt idx="367">
                  <c:v>233.9</c:v>
                </c:pt>
                <c:pt idx="368">
                  <c:v>226.36</c:v>
                </c:pt>
                <c:pt idx="369">
                  <c:v>229.59</c:v>
                </c:pt>
                <c:pt idx="370">
                  <c:v>233.62</c:v>
                </c:pt>
                <c:pt idx="371">
                  <c:v>236.25</c:v>
                </c:pt>
                <c:pt idx="372">
                  <c:v>237.7</c:v>
                </c:pt>
                <c:pt idx="373">
                  <c:v>238.54</c:v>
                </c:pt>
                <c:pt idx="374">
                  <c:v>237.43</c:v>
                </c:pt>
                <c:pt idx="375">
                  <c:v>245.03</c:v>
                </c:pt>
                <c:pt idx="376">
                  <c:v>255.59</c:v>
                </c:pt>
                <c:pt idx="377">
                  <c:v>253.95</c:v>
                </c:pt>
                <c:pt idx="378">
                  <c:v>251.83</c:v>
                </c:pt>
                <c:pt idx="379">
                  <c:v>256.38</c:v>
                </c:pt>
                <c:pt idx="380">
                  <c:v>254.97</c:v>
                </c:pt>
                <c:pt idx="381">
                  <c:v>253.95</c:v>
                </c:pt>
                <c:pt idx="382">
                  <c:v>254.15</c:v>
                </c:pt>
                <c:pt idx="383">
                  <c:v>254.96</c:v>
                </c:pt>
                <c:pt idx="384">
                  <c:v>256.64</c:v>
                </c:pt>
                <c:pt idx="385">
                  <c:v>257.52999999999997</c:v>
                </c:pt>
                <c:pt idx="386">
                  <c:v>256.2</c:v>
                </c:pt>
                <c:pt idx="387">
                  <c:v>255.99</c:v>
                </c:pt>
                <c:pt idx="388">
                  <c:v>257.57</c:v>
                </c:pt>
                <c:pt idx="389">
                  <c:v>253.56</c:v>
                </c:pt>
                <c:pt idx="390">
                  <c:v>244.8</c:v>
                </c:pt>
                <c:pt idx="391">
                  <c:v>247.19</c:v>
                </c:pt>
                <c:pt idx="392">
                  <c:v>247.3</c:v>
                </c:pt>
                <c:pt idx="393">
                  <c:v>248.87</c:v>
                </c:pt>
                <c:pt idx="394">
                  <c:v>246.98</c:v>
                </c:pt>
                <c:pt idx="395">
                  <c:v>251.81</c:v>
                </c:pt>
                <c:pt idx="396">
                  <c:v>261.74</c:v>
                </c:pt>
                <c:pt idx="397">
                  <c:v>262.27</c:v>
                </c:pt>
                <c:pt idx="398">
                  <c:v>257.95999999999998</c:v>
                </c:pt>
                <c:pt idx="399">
                  <c:v>259.08999999999997</c:v>
                </c:pt>
                <c:pt idx="400">
                  <c:v>262.32</c:v>
                </c:pt>
                <c:pt idx="401">
                  <c:v>268.3</c:v>
                </c:pt>
                <c:pt idx="402">
                  <c:v>268.49</c:v>
                </c:pt>
                <c:pt idx="403">
                  <c:v>269.19</c:v>
                </c:pt>
                <c:pt idx="404">
                  <c:v>270.88</c:v>
                </c:pt>
                <c:pt idx="405">
                  <c:v>269.86</c:v>
                </c:pt>
                <c:pt idx="406">
                  <c:v>268.54000000000002</c:v>
                </c:pt>
                <c:pt idx="407">
                  <c:v>269.52999999999997</c:v>
                </c:pt>
                <c:pt idx="408">
                  <c:v>269.63</c:v>
                </c:pt>
                <c:pt idx="409">
                  <c:v>269.26</c:v>
                </c:pt>
                <c:pt idx="410">
                  <c:v>267.95999999999998</c:v>
                </c:pt>
                <c:pt idx="411">
                  <c:v>269.18</c:v>
                </c:pt>
                <c:pt idx="412">
                  <c:v>274.99</c:v>
                </c:pt>
                <c:pt idx="413">
                  <c:v>273.20999999999998</c:v>
                </c:pt>
                <c:pt idx="414">
                  <c:v>272.69</c:v>
                </c:pt>
                <c:pt idx="415">
                  <c:v>272.16000000000003</c:v>
                </c:pt>
                <c:pt idx="416">
                  <c:v>267.20999999999998</c:v>
                </c:pt>
                <c:pt idx="417">
                  <c:v>267.19</c:v>
                </c:pt>
                <c:pt idx="418">
                  <c:v>268.31</c:v>
                </c:pt>
                <c:pt idx="419">
                  <c:v>266</c:v>
                </c:pt>
                <c:pt idx="420">
                  <c:v>271.24</c:v>
                </c:pt>
                <c:pt idx="421">
                  <c:v>275.66000000000003</c:v>
                </c:pt>
                <c:pt idx="422">
                  <c:v>276.70999999999998</c:v>
                </c:pt>
                <c:pt idx="423">
                  <c:v>277.29000000000002</c:v>
                </c:pt>
                <c:pt idx="424">
                  <c:v>278.58999999999997</c:v>
                </c:pt>
                <c:pt idx="425">
                  <c:v>282.83999999999997</c:v>
                </c:pt>
                <c:pt idx="426">
                  <c:v>285.92</c:v>
                </c:pt>
                <c:pt idx="427">
                  <c:v>283.88</c:v>
                </c:pt>
                <c:pt idx="428">
                  <c:v>280.44</c:v>
                </c:pt>
                <c:pt idx="429">
                  <c:v>278.52</c:v>
                </c:pt>
                <c:pt idx="430">
                  <c:v>277.63</c:v>
                </c:pt>
                <c:pt idx="431">
                  <c:v>276.92</c:v>
                </c:pt>
                <c:pt idx="432">
                  <c:v>278.52</c:v>
                </c:pt>
                <c:pt idx="433">
                  <c:v>277.77</c:v>
                </c:pt>
                <c:pt idx="434">
                  <c:v>278.02</c:v>
                </c:pt>
                <c:pt idx="435">
                  <c:v>273.85000000000002</c:v>
                </c:pt>
                <c:pt idx="436">
                  <c:v>274.35000000000002</c:v>
                </c:pt>
                <c:pt idx="437">
                  <c:v>271.58999999999997</c:v>
                </c:pt>
                <c:pt idx="438">
                  <c:v>271.94</c:v>
                </c:pt>
                <c:pt idx="439">
                  <c:v>273.41000000000003</c:v>
                </c:pt>
                <c:pt idx="440">
                  <c:v>270.72000000000003</c:v>
                </c:pt>
                <c:pt idx="441">
                  <c:v>272.11</c:v>
                </c:pt>
                <c:pt idx="442">
                  <c:v>273.55</c:v>
                </c:pt>
                <c:pt idx="443">
                  <c:v>273.14</c:v>
                </c:pt>
                <c:pt idx="444">
                  <c:v>273.5</c:v>
                </c:pt>
                <c:pt idx="445">
                  <c:v>272.82</c:v>
                </c:pt>
                <c:pt idx="446">
                  <c:v>271.61</c:v>
                </c:pt>
                <c:pt idx="447">
                  <c:v>270.76</c:v>
                </c:pt>
                <c:pt idx="448">
                  <c:v>267.01</c:v>
                </c:pt>
                <c:pt idx="449">
                  <c:v>262.11</c:v>
                </c:pt>
                <c:pt idx="450">
                  <c:v>260.08999999999997</c:v>
                </c:pt>
                <c:pt idx="451">
                  <c:v>258.8</c:v>
                </c:pt>
                <c:pt idx="452">
                  <c:v>259.13</c:v>
                </c:pt>
                <c:pt idx="453">
                  <c:v>260.01</c:v>
                </c:pt>
                <c:pt idx="454">
                  <c:v>260.81</c:v>
                </c:pt>
                <c:pt idx="455">
                  <c:v>259.72000000000003</c:v>
                </c:pt>
                <c:pt idx="456">
                  <c:v>257.97000000000003</c:v>
                </c:pt>
                <c:pt idx="457">
                  <c:v>255.29</c:v>
                </c:pt>
                <c:pt idx="458">
                  <c:v>246.47</c:v>
                </c:pt>
                <c:pt idx="459">
                  <c:v>247.42</c:v>
                </c:pt>
                <c:pt idx="460">
                  <c:v>248.12</c:v>
                </c:pt>
                <c:pt idx="461">
                  <c:v>247.81</c:v>
                </c:pt>
                <c:pt idx="462">
                  <c:v>255.17</c:v>
                </c:pt>
                <c:pt idx="463">
                  <c:v>258.02999999999997</c:v>
                </c:pt>
                <c:pt idx="464">
                  <c:v>256.2</c:v>
                </c:pt>
                <c:pt idx="465">
                  <c:v>258.04000000000002</c:v>
                </c:pt>
                <c:pt idx="466">
                  <c:v>259.24</c:v>
                </c:pt>
                <c:pt idx="467">
                  <c:v>269.76</c:v>
                </c:pt>
                <c:pt idx="468">
                  <c:v>269.23</c:v>
                </c:pt>
                <c:pt idx="469">
                  <c:v>276.23</c:v>
                </c:pt>
                <c:pt idx="470">
                  <c:v>275.64999999999998</c:v>
                </c:pt>
                <c:pt idx="471">
                  <c:v>277.86</c:v>
                </c:pt>
                <c:pt idx="472">
                  <c:v>274.62</c:v>
                </c:pt>
                <c:pt idx="473">
                  <c:v>273.68</c:v>
                </c:pt>
                <c:pt idx="474">
                  <c:v>275.5</c:v>
                </c:pt>
                <c:pt idx="475">
                  <c:v>261.73</c:v>
                </c:pt>
                <c:pt idx="476">
                  <c:v>255.78</c:v>
                </c:pt>
                <c:pt idx="477">
                  <c:v>263.88</c:v>
                </c:pt>
                <c:pt idx="478">
                  <c:v>264.35000000000002</c:v>
                </c:pt>
                <c:pt idx="479">
                  <c:v>260.58</c:v>
                </c:pt>
                <c:pt idx="480">
                  <c:v>264.58</c:v>
                </c:pt>
                <c:pt idx="481">
                  <c:v>266.18</c:v>
                </c:pt>
                <c:pt idx="482">
                  <c:v>272.14</c:v>
                </c:pt>
                <c:pt idx="483">
                  <c:v>274.23</c:v>
                </c:pt>
                <c:pt idx="484">
                  <c:v>272.95</c:v>
                </c:pt>
                <c:pt idx="485">
                  <c:v>264.18</c:v>
                </c:pt>
                <c:pt idx="486">
                  <c:v>264.72000000000003</c:v>
                </c:pt>
                <c:pt idx="487">
                  <c:v>263.75</c:v>
                </c:pt>
                <c:pt idx="488">
                  <c:v>262.52</c:v>
                </c:pt>
                <c:pt idx="489">
                  <c:v>260.29000000000002</c:v>
                </c:pt>
                <c:pt idx="490">
                  <c:v>257.45999999999998</c:v>
                </c:pt>
                <c:pt idx="491">
                  <c:v>259.88</c:v>
                </c:pt>
                <c:pt idx="492">
                  <c:v>260.83</c:v>
                </c:pt>
                <c:pt idx="493">
                  <c:v>260.81</c:v>
                </c:pt>
                <c:pt idx="494">
                  <c:v>255.76</c:v>
                </c:pt>
                <c:pt idx="495">
                  <c:v>250.12</c:v>
                </c:pt>
                <c:pt idx="496">
                  <c:v>252.82</c:v>
                </c:pt>
                <c:pt idx="497">
                  <c:v>254.23</c:v>
                </c:pt>
                <c:pt idx="498">
                  <c:v>249.94</c:v>
                </c:pt>
                <c:pt idx="499">
                  <c:v>248.96</c:v>
                </c:pt>
                <c:pt idx="500">
                  <c:v>247.99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B-409F-A74E-A8E6D3812DE7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data!$C$2:$C$515</c:f>
              <c:numCache>
                <c:formatCode>General</c:formatCode>
                <c:ptCount val="514"/>
                <c:pt idx="0">
                  <c:v>422.88</c:v>
                </c:pt>
                <c:pt idx="1">
                  <c:v>422.26</c:v>
                </c:pt>
                <c:pt idx="2">
                  <c:v>416.47</c:v>
                </c:pt>
                <c:pt idx="3">
                  <c:v>415.28</c:v>
                </c:pt>
                <c:pt idx="4">
                  <c:v>415.06</c:v>
                </c:pt>
                <c:pt idx="5">
                  <c:v>414.36</c:v>
                </c:pt>
                <c:pt idx="6">
                  <c:v>418.15</c:v>
                </c:pt>
                <c:pt idx="7">
                  <c:v>415.07</c:v>
                </c:pt>
                <c:pt idx="8">
                  <c:v>414.09</c:v>
                </c:pt>
                <c:pt idx="9">
                  <c:v>411.56</c:v>
                </c:pt>
                <c:pt idx="10">
                  <c:v>419.09</c:v>
                </c:pt>
                <c:pt idx="11">
                  <c:v>418.17</c:v>
                </c:pt>
                <c:pt idx="12">
                  <c:v>419.84</c:v>
                </c:pt>
                <c:pt idx="13">
                  <c:v>416.86</c:v>
                </c:pt>
                <c:pt idx="14">
                  <c:v>421.46</c:v>
                </c:pt>
                <c:pt idx="15">
                  <c:v>415.52</c:v>
                </c:pt>
                <c:pt idx="16">
                  <c:v>407.39</c:v>
                </c:pt>
                <c:pt idx="17">
                  <c:v>408.31</c:v>
                </c:pt>
                <c:pt idx="18">
                  <c:v>405.61</c:v>
                </c:pt>
                <c:pt idx="19">
                  <c:v>398.16</c:v>
                </c:pt>
                <c:pt idx="20">
                  <c:v>393.09</c:v>
                </c:pt>
                <c:pt idx="21">
                  <c:v>394.9</c:v>
                </c:pt>
                <c:pt idx="22">
                  <c:v>401.41</c:v>
                </c:pt>
                <c:pt idx="23">
                  <c:v>402.88</c:v>
                </c:pt>
                <c:pt idx="24">
                  <c:v>393.01</c:v>
                </c:pt>
                <c:pt idx="25">
                  <c:v>400.18</c:v>
                </c:pt>
                <c:pt idx="26">
                  <c:v>396.17</c:v>
                </c:pt>
                <c:pt idx="27">
                  <c:v>383.44</c:v>
                </c:pt>
                <c:pt idx="28">
                  <c:v>388.97</c:v>
                </c:pt>
                <c:pt idx="29">
                  <c:v>391.83</c:v>
                </c:pt>
                <c:pt idx="30">
                  <c:v>400.51</c:v>
                </c:pt>
                <c:pt idx="31">
                  <c:v>407.29</c:v>
                </c:pt>
                <c:pt idx="32">
                  <c:v>403.15</c:v>
                </c:pt>
                <c:pt idx="33">
                  <c:v>404.33</c:v>
                </c:pt>
                <c:pt idx="34">
                  <c:v>406.09</c:v>
                </c:pt>
                <c:pt idx="35">
                  <c:v>408.47</c:v>
                </c:pt>
                <c:pt idx="36">
                  <c:v>407.47</c:v>
                </c:pt>
                <c:pt idx="37">
                  <c:v>410.26</c:v>
                </c:pt>
                <c:pt idx="38">
                  <c:v>417.44</c:v>
                </c:pt>
                <c:pt idx="39">
                  <c:v>415.37</c:v>
                </c:pt>
                <c:pt idx="40">
                  <c:v>414.6</c:v>
                </c:pt>
                <c:pt idx="41">
                  <c:v>419.67</c:v>
                </c:pt>
                <c:pt idx="42">
                  <c:v>423.32</c:v>
                </c:pt>
                <c:pt idx="43">
                  <c:v>424.78</c:v>
                </c:pt>
                <c:pt idx="44">
                  <c:v>421.3</c:v>
                </c:pt>
                <c:pt idx="45">
                  <c:v>424.42</c:v>
                </c:pt>
                <c:pt idx="46">
                  <c:v>424.58</c:v>
                </c:pt>
                <c:pt idx="47">
                  <c:v>423.44</c:v>
                </c:pt>
                <c:pt idx="48">
                  <c:v>409.14</c:v>
                </c:pt>
                <c:pt idx="49">
                  <c:v>409.59</c:v>
                </c:pt>
                <c:pt idx="50">
                  <c:v>408</c:v>
                </c:pt>
                <c:pt idx="51">
                  <c:v>410.52</c:v>
                </c:pt>
                <c:pt idx="52">
                  <c:v>418.35</c:v>
                </c:pt>
                <c:pt idx="53">
                  <c:v>418.86</c:v>
                </c:pt>
                <c:pt idx="54">
                  <c:v>418.2</c:v>
                </c:pt>
                <c:pt idx="55">
                  <c:v>422.16</c:v>
                </c:pt>
                <c:pt idx="56">
                  <c:v>426.91</c:v>
                </c:pt>
                <c:pt idx="57">
                  <c:v>435.18</c:v>
                </c:pt>
                <c:pt idx="58">
                  <c:v>435.69</c:v>
                </c:pt>
                <c:pt idx="59">
                  <c:v>436.67</c:v>
                </c:pt>
                <c:pt idx="60">
                  <c:v>442.39</c:v>
                </c:pt>
                <c:pt idx="61">
                  <c:v>440.39</c:v>
                </c:pt>
                <c:pt idx="62">
                  <c:v>439.75</c:v>
                </c:pt>
                <c:pt idx="63">
                  <c:v>443.78</c:v>
                </c:pt>
                <c:pt idx="64">
                  <c:v>441.7</c:v>
                </c:pt>
                <c:pt idx="65">
                  <c:v>444.93</c:v>
                </c:pt>
                <c:pt idx="66">
                  <c:v>446.13</c:v>
                </c:pt>
                <c:pt idx="67">
                  <c:v>446.81</c:v>
                </c:pt>
                <c:pt idx="68">
                  <c:v>440.99</c:v>
                </c:pt>
                <c:pt idx="69">
                  <c:v>450.64</c:v>
                </c:pt>
                <c:pt idx="70">
                  <c:v>453.15</c:v>
                </c:pt>
                <c:pt idx="71">
                  <c:v>454.62</c:v>
                </c:pt>
                <c:pt idx="72">
                  <c:v>461.32</c:v>
                </c:pt>
                <c:pt idx="73">
                  <c:v>460.02</c:v>
                </c:pt>
                <c:pt idx="74">
                  <c:v>453.41</c:v>
                </c:pt>
                <c:pt idx="75">
                  <c:v>460.03</c:v>
                </c:pt>
                <c:pt idx="76">
                  <c:v>448.63</c:v>
                </c:pt>
                <c:pt idx="77">
                  <c:v>447.5</c:v>
                </c:pt>
                <c:pt idx="78">
                  <c:v>447.9</c:v>
                </c:pt>
                <c:pt idx="79">
                  <c:v>443.52</c:v>
                </c:pt>
                <c:pt idx="80">
                  <c:v>437.6</c:v>
                </c:pt>
                <c:pt idx="81">
                  <c:v>434.5</c:v>
                </c:pt>
                <c:pt idx="82">
                  <c:v>431.28</c:v>
                </c:pt>
                <c:pt idx="83">
                  <c:v>437.03</c:v>
                </c:pt>
                <c:pt idx="84">
                  <c:v>438.92</c:v>
                </c:pt>
                <c:pt idx="85">
                  <c:v>423.18</c:v>
                </c:pt>
                <c:pt idx="86">
                  <c:v>412.82</c:v>
                </c:pt>
                <c:pt idx="87">
                  <c:v>419.6</c:v>
                </c:pt>
                <c:pt idx="88">
                  <c:v>421.04</c:v>
                </c:pt>
                <c:pt idx="89">
                  <c:v>417.28</c:v>
                </c:pt>
                <c:pt idx="90">
                  <c:v>412.77</c:v>
                </c:pt>
                <c:pt idx="91">
                  <c:v>411.55</c:v>
                </c:pt>
                <c:pt idx="92">
                  <c:v>403.04</c:v>
                </c:pt>
                <c:pt idx="93">
                  <c:v>389.88</c:v>
                </c:pt>
                <c:pt idx="94">
                  <c:v>394.28</c:v>
                </c:pt>
                <c:pt idx="95">
                  <c:v>393.11</c:v>
                </c:pt>
                <c:pt idx="96">
                  <c:v>397.32</c:v>
                </c:pt>
                <c:pt idx="97">
                  <c:v>400.6</c:v>
                </c:pt>
                <c:pt idx="98">
                  <c:v>401.38</c:v>
                </c:pt>
                <c:pt idx="99">
                  <c:v>408.49</c:v>
                </c:pt>
                <c:pt idx="100">
                  <c:v>411.3</c:v>
                </c:pt>
                <c:pt idx="101">
                  <c:v>416.16</c:v>
                </c:pt>
                <c:pt idx="102">
                  <c:v>413.63</c:v>
                </c:pt>
                <c:pt idx="103">
                  <c:v>416.66</c:v>
                </c:pt>
                <c:pt idx="104">
                  <c:v>419.89</c:v>
                </c:pt>
                <c:pt idx="105">
                  <c:v>419.24</c:v>
                </c:pt>
                <c:pt idx="106">
                  <c:v>410.75</c:v>
                </c:pt>
                <c:pt idx="107">
                  <c:v>411.97</c:v>
                </c:pt>
                <c:pt idx="108">
                  <c:v>408.71</c:v>
                </c:pt>
                <c:pt idx="109">
                  <c:v>409.06</c:v>
                </c:pt>
                <c:pt idx="110">
                  <c:v>405.85</c:v>
                </c:pt>
                <c:pt idx="111">
                  <c:v>408.34</c:v>
                </c:pt>
                <c:pt idx="112">
                  <c:v>412.32</c:v>
                </c:pt>
                <c:pt idx="113">
                  <c:v>404.71</c:v>
                </c:pt>
                <c:pt idx="114">
                  <c:v>404.17</c:v>
                </c:pt>
                <c:pt idx="115">
                  <c:v>403.67</c:v>
                </c:pt>
                <c:pt idx="116">
                  <c:v>397.06</c:v>
                </c:pt>
                <c:pt idx="117">
                  <c:v>401.03</c:v>
                </c:pt>
                <c:pt idx="118">
                  <c:v>409.41</c:v>
                </c:pt>
                <c:pt idx="119">
                  <c:v>418.15</c:v>
                </c:pt>
                <c:pt idx="120">
                  <c:v>422.06</c:v>
                </c:pt>
                <c:pt idx="121">
                  <c:v>425.61</c:v>
                </c:pt>
                <c:pt idx="122">
                  <c:v>426.35</c:v>
                </c:pt>
                <c:pt idx="123">
                  <c:v>430.12</c:v>
                </c:pt>
                <c:pt idx="124">
                  <c:v>425.83</c:v>
                </c:pt>
                <c:pt idx="125">
                  <c:v>433.62</c:v>
                </c:pt>
                <c:pt idx="126">
                  <c:v>430.24</c:v>
                </c:pt>
                <c:pt idx="127">
                  <c:v>428.5</c:v>
                </c:pt>
                <c:pt idx="128">
                  <c:v>424.21</c:v>
                </c:pt>
                <c:pt idx="129">
                  <c:v>427.11</c:v>
                </c:pt>
                <c:pt idx="130">
                  <c:v>426.32</c:v>
                </c:pt>
                <c:pt idx="131">
                  <c:v>423.07</c:v>
                </c:pt>
                <c:pt idx="132">
                  <c:v>425.32</c:v>
                </c:pt>
                <c:pt idx="133">
                  <c:v>415.83</c:v>
                </c:pt>
                <c:pt idx="134">
                  <c:v>412.31</c:v>
                </c:pt>
                <c:pt idx="135">
                  <c:v>411.72</c:v>
                </c:pt>
                <c:pt idx="136">
                  <c:v>411.25</c:v>
                </c:pt>
                <c:pt idx="137">
                  <c:v>404.8</c:v>
                </c:pt>
                <c:pt idx="138">
                  <c:v>409.92</c:v>
                </c:pt>
                <c:pt idx="139">
                  <c:v>412.63</c:v>
                </c:pt>
                <c:pt idx="140">
                  <c:v>411.03</c:v>
                </c:pt>
                <c:pt idx="141">
                  <c:v>411.51</c:v>
                </c:pt>
                <c:pt idx="142">
                  <c:v>414.29</c:v>
                </c:pt>
                <c:pt idx="143">
                  <c:v>413.9</c:v>
                </c:pt>
                <c:pt idx="144">
                  <c:v>411.31</c:v>
                </c:pt>
                <c:pt idx="145">
                  <c:v>411.9</c:v>
                </c:pt>
                <c:pt idx="146">
                  <c:v>413.33</c:v>
                </c:pt>
                <c:pt idx="147">
                  <c:v>413.94</c:v>
                </c:pt>
                <c:pt idx="148">
                  <c:v>422.57</c:v>
                </c:pt>
                <c:pt idx="149">
                  <c:v>419.69</c:v>
                </c:pt>
                <c:pt idx="150">
                  <c:v>419.82</c:v>
                </c:pt>
                <c:pt idx="151">
                  <c:v>423.2</c:v>
                </c:pt>
                <c:pt idx="152">
                  <c:v>421.66</c:v>
                </c:pt>
                <c:pt idx="153">
                  <c:v>426.96</c:v>
                </c:pt>
                <c:pt idx="154">
                  <c:v>427.53</c:v>
                </c:pt>
                <c:pt idx="155">
                  <c:v>401.65</c:v>
                </c:pt>
                <c:pt idx="156">
                  <c:v>405.63</c:v>
                </c:pt>
                <c:pt idx="157">
                  <c:v>403.74</c:v>
                </c:pt>
                <c:pt idx="158">
                  <c:v>406.7</c:v>
                </c:pt>
                <c:pt idx="159">
                  <c:v>415.32</c:v>
                </c:pt>
                <c:pt idx="160">
                  <c:v>420.51</c:v>
                </c:pt>
                <c:pt idx="161">
                  <c:v>417.65</c:v>
                </c:pt>
                <c:pt idx="162">
                  <c:v>413.18</c:v>
                </c:pt>
                <c:pt idx="163">
                  <c:v>418.14</c:v>
                </c:pt>
                <c:pt idx="164">
                  <c:v>420.28</c:v>
                </c:pt>
                <c:pt idx="165">
                  <c:v>421.95</c:v>
                </c:pt>
                <c:pt idx="166">
                  <c:v>410.2</c:v>
                </c:pt>
                <c:pt idx="167">
                  <c:v>410.95</c:v>
                </c:pt>
                <c:pt idx="168">
                  <c:v>412.96</c:v>
                </c:pt>
                <c:pt idx="169">
                  <c:v>410.69</c:v>
                </c:pt>
                <c:pt idx="170">
                  <c:v>408.91</c:v>
                </c:pt>
                <c:pt idx="171">
                  <c:v>413</c:v>
                </c:pt>
                <c:pt idx="172">
                  <c:v>414.78</c:v>
                </c:pt>
                <c:pt idx="173">
                  <c:v>423.89</c:v>
                </c:pt>
                <c:pt idx="174">
                  <c:v>418.94</c:v>
                </c:pt>
                <c:pt idx="175">
                  <c:v>419.4</c:v>
                </c:pt>
                <c:pt idx="176">
                  <c:v>426.85</c:v>
                </c:pt>
                <c:pt idx="177">
                  <c:v>427.07</c:v>
                </c:pt>
                <c:pt idx="178">
                  <c:v>433.23</c:v>
                </c:pt>
                <c:pt idx="179">
                  <c:v>438.38</c:v>
                </c:pt>
                <c:pt idx="180">
                  <c:v>439.32</c:v>
                </c:pt>
                <c:pt idx="181">
                  <c:v>441.75</c:v>
                </c:pt>
                <c:pt idx="182">
                  <c:v>439.08</c:v>
                </c:pt>
                <c:pt idx="183">
                  <c:v>444.69</c:v>
                </c:pt>
                <c:pt idx="184">
                  <c:v>445.25</c:v>
                </c:pt>
                <c:pt idx="185">
                  <c:v>442.98</c:v>
                </c:pt>
                <c:pt idx="186">
                  <c:v>447.26</c:v>
                </c:pt>
                <c:pt idx="187">
                  <c:v>450.1</c:v>
                </c:pt>
                <c:pt idx="188">
                  <c:v>433.2</c:v>
                </c:pt>
                <c:pt idx="189">
                  <c:v>432.84</c:v>
                </c:pt>
                <c:pt idx="190">
                  <c:v>432.42</c:v>
                </c:pt>
                <c:pt idx="191">
                  <c:v>431.08</c:v>
                </c:pt>
                <c:pt idx="192">
                  <c:v>435.12</c:v>
                </c:pt>
                <c:pt idx="193">
                  <c:v>433.91</c:v>
                </c:pt>
                <c:pt idx="194">
                  <c:v>426.4</c:v>
                </c:pt>
                <c:pt idx="195">
                  <c:v>420.76</c:v>
                </c:pt>
                <c:pt idx="196">
                  <c:v>417.46</c:v>
                </c:pt>
                <c:pt idx="197">
                  <c:v>414.57</c:v>
                </c:pt>
                <c:pt idx="198">
                  <c:v>419.29</c:v>
                </c:pt>
                <c:pt idx="199">
                  <c:v>423.75</c:v>
                </c:pt>
                <c:pt idx="200">
                  <c:v>418.32</c:v>
                </c:pt>
                <c:pt idx="201">
                  <c:v>420.49</c:v>
                </c:pt>
                <c:pt idx="202">
                  <c:v>414.94</c:v>
                </c:pt>
                <c:pt idx="203">
                  <c:v>413.19</c:v>
                </c:pt>
                <c:pt idx="204">
                  <c:v>411.69</c:v>
                </c:pt>
                <c:pt idx="205">
                  <c:v>422.22</c:v>
                </c:pt>
                <c:pt idx="206">
                  <c:v>420.51</c:v>
                </c:pt>
                <c:pt idx="207">
                  <c:v>424.92</c:v>
                </c:pt>
                <c:pt idx="208">
                  <c:v>424.39</c:v>
                </c:pt>
                <c:pt idx="209">
                  <c:v>441.92</c:v>
                </c:pt>
                <c:pt idx="210">
                  <c:v>442.43</c:v>
                </c:pt>
                <c:pt idx="211">
                  <c:v>439.8</c:v>
                </c:pt>
                <c:pt idx="212">
                  <c:v>430.4</c:v>
                </c:pt>
                <c:pt idx="213">
                  <c:v>442.91</c:v>
                </c:pt>
                <c:pt idx="214">
                  <c:v>438.09</c:v>
                </c:pt>
                <c:pt idx="215">
                  <c:v>411.01</c:v>
                </c:pt>
                <c:pt idx="216">
                  <c:v>411.08</c:v>
                </c:pt>
                <c:pt idx="217">
                  <c:v>406.98</c:v>
                </c:pt>
                <c:pt idx="218">
                  <c:v>408.42</c:v>
                </c:pt>
                <c:pt idx="219">
                  <c:v>409.33</c:v>
                </c:pt>
                <c:pt idx="220">
                  <c:v>411.84</c:v>
                </c:pt>
                <c:pt idx="221">
                  <c:v>405.82</c:v>
                </c:pt>
                <c:pt idx="222">
                  <c:v>408.27</c:v>
                </c:pt>
                <c:pt idx="223">
                  <c:v>407.5</c:v>
                </c:pt>
                <c:pt idx="224">
                  <c:v>405.12</c:v>
                </c:pt>
                <c:pt idx="225">
                  <c:v>406.61</c:v>
                </c:pt>
                <c:pt idx="226">
                  <c:v>404.52</c:v>
                </c:pt>
                <c:pt idx="227">
                  <c:v>405.71</c:v>
                </c:pt>
                <c:pt idx="228">
                  <c:v>410.8</c:v>
                </c:pt>
                <c:pt idx="229">
                  <c:v>412.97</c:v>
                </c:pt>
                <c:pt idx="230">
                  <c:v>405.11</c:v>
                </c:pt>
                <c:pt idx="231">
                  <c:v>400.93</c:v>
                </c:pt>
                <c:pt idx="232">
                  <c:v>394.88</c:v>
                </c:pt>
                <c:pt idx="233">
                  <c:v>396.69</c:v>
                </c:pt>
                <c:pt idx="234">
                  <c:v>389.55</c:v>
                </c:pt>
                <c:pt idx="235">
                  <c:v>393.97</c:v>
                </c:pt>
                <c:pt idx="236">
                  <c:v>385.54</c:v>
                </c:pt>
                <c:pt idx="237">
                  <c:v>385.66</c:v>
                </c:pt>
                <c:pt idx="238">
                  <c:v>397.97</c:v>
                </c:pt>
                <c:pt idx="239">
                  <c:v>393.87</c:v>
                </c:pt>
                <c:pt idx="240">
                  <c:v>390.32</c:v>
                </c:pt>
                <c:pt idx="241">
                  <c:v>377.27</c:v>
                </c:pt>
                <c:pt idx="242">
                  <c:v>377.56</c:v>
                </c:pt>
                <c:pt idx="243">
                  <c:v>380.36</c:v>
                </c:pt>
                <c:pt idx="244">
                  <c:v>375.89</c:v>
                </c:pt>
                <c:pt idx="245">
                  <c:v>385.61</c:v>
                </c:pt>
                <c:pt idx="246">
                  <c:v>385.75</c:v>
                </c:pt>
                <c:pt idx="247">
                  <c:v>380.61</c:v>
                </c:pt>
                <c:pt idx="248">
                  <c:v>384.87</c:v>
                </c:pt>
                <c:pt idx="249">
                  <c:v>383.9</c:v>
                </c:pt>
                <c:pt idx="250">
                  <c:v>388.29</c:v>
                </c:pt>
                <c:pt idx="251">
                  <c:v>390.09</c:v>
                </c:pt>
                <c:pt idx="252">
                  <c:v>392.16</c:v>
                </c:pt>
                <c:pt idx="253">
                  <c:v>387.01</c:v>
                </c:pt>
                <c:pt idx="254">
                  <c:v>387.61</c:v>
                </c:pt>
                <c:pt idx="255">
                  <c:v>375.92</c:v>
                </c:pt>
                <c:pt idx="256">
                  <c:v>372.54</c:v>
                </c:pt>
                <c:pt idx="257">
                  <c:v>379.29</c:v>
                </c:pt>
                <c:pt idx="258">
                  <c:v>379.24</c:v>
                </c:pt>
                <c:pt idx="259">
                  <c:v>370.28</c:v>
                </c:pt>
                <c:pt idx="260">
                  <c:v>357.11</c:v>
                </c:pt>
                <c:pt idx="261">
                  <c:v>355.14</c:v>
                </c:pt>
                <c:pt idx="262">
                  <c:v>351.87</c:v>
                </c:pt>
                <c:pt idx="263">
                  <c:v>387.52</c:v>
                </c:pt>
                <c:pt idx="264">
                  <c:v>378.45</c:v>
                </c:pt>
                <c:pt idx="265">
                  <c:v>385.5</c:v>
                </c:pt>
                <c:pt idx="266">
                  <c:v>384.86</c:v>
                </c:pt>
                <c:pt idx="267">
                  <c:v>382.8</c:v>
                </c:pt>
                <c:pt idx="268">
                  <c:v>368.79</c:v>
                </c:pt>
                <c:pt idx="269">
                  <c:v>364.99</c:v>
                </c:pt>
                <c:pt idx="270">
                  <c:v>356.39</c:v>
                </c:pt>
                <c:pt idx="271">
                  <c:v>364.03</c:v>
                </c:pt>
                <c:pt idx="272">
                  <c:v>371.55</c:v>
                </c:pt>
                <c:pt idx="273">
                  <c:v>384.36</c:v>
                </c:pt>
                <c:pt idx="274">
                  <c:v>388.87</c:v>
                </c:pt>
                <c:pt idx="275">
                  <c:v>388.19</c:v>
                </c:pt>
                <c:pt idx="276">
                  <c:v>391.05</c:v>
                </c:pt>
                <c:pt idx="277">
                  <c:v>392.26</c:v>
                </c:pt>
                <c:pt idx="278">
                  <c:v>422.17</c:v>
                </c:pt>
                <c:pt idx="279">
                  <c:v>431.97</c:v>
                </c:pt>
                <c:pt idx="280">
                  <c:v>432.86</c:v>
                </c:pt>
                <c:pt idx="281">
                  <c:v>430.02</c:v>
                </c:pt>
                <c:pt idx="282">
                  <c:v>430.06</c:v>
                </c:pt>
                <c:pt idx="283">
                  <c:v>434.84</c:v>
                </c:pt>
                <c:pt idx="284">
                  <c:v>435.4</c:v>
                </c:pt>
                <c:pt idx="285">
                  <c:v>445.85</c:v>
                </c:pt>
                <c:pt idx="286">
                  <c:v>445.73</c:v>
                </c:pt>
                <c:pt idx="287">
                  <c:v>449.5</c:v>
                </c:pt>
                <c:pt idx="288">
                  <c:v>450.51</c:v>
                </c:pt>
                <c:pt idx="289">
                  <c:v>451.65</c:v>
                </c:pt>
                <c:pt idx="290">
                  <c:v>456.22</c:v>
                </c:pt>
                <c:pt idx="291">
                  <c:v>455.52</c:v>
                </c:pt>
                <c:pt idx="292">
                  <c:v>449.96</c:v>
                </c:pt>
                <c:pt idx="293">
                  <c:v>452.23</c:v>
                </c:pt>
                <c:pt idx="294">
                  <c:v>447.58</c:v>
                </c:pt>
                <c:pt idx="295">
                  <c:v>458.03</c:v>
                </c:pt>
                <c:pt idx="296">
                  <c:v>454.72</c:v>
                </c:pt>
                <c:pt idx="297">
                  <c:v>456.03</c:v>
                </c:pt>
                <c:pt idx="298">
                  <c:v>457.7</c:v>
                </c:pt>
                <c:pt idx="299">
                  <c:v>459.3</c:v>
                </c:pt>
                <c:pt idx="300">
                  <c:v>460.3</c:v>
                </c:pt>
                <c:pt idx="301">
                  <c:v>461.19</c:v>
                </c:pt>
                <c:pt idx="302">
                  <c:v>464.98</c:v>
                </c:pt>
                <c:pt idx="303">
                  <c:v>467.66</c:v>
                </c:pt>
                <c:pt idx="304">
                  <c:v>470.02</c:v>
                </c:pt>
                <c:pt idx="305">
                  <c:v>468.2</c:v>
                </c:pt>
                <c:pt idx="306">
                  <c:v>469.89</c:v>
                </c:pt>
                <c:pt idx="307">
                  <c:v>476.1</c:v>
                </c:pt>
                <c:pt idx="308">
                  <c:v>472.22</c:v>
                </c:pt>
                <c:pt idx="309">
                  <c:v>476.37</c:v>
                </c:pt>
                <c:pt idx="310">
                  <c:v>475.28</c:v>
                </c:pt>
                <c:pt idx="311">
                  <c:v>477.47</c:v>
                </c:pt>
                <c:pt idx="312">
                  <c:v>474.64</c:v>
                </c:pt>
                <c:pt idx="313">
                  <c:v>483.19</c:v>
                </c:pt>
                <c:pt idx="314">
                  <c:v>487.28</c:v>
                </c:pt>
                <c:pt idx="315">
                  <c:v>489.43</c:v>
                </c:pt>
                <c:pt idx="316">
                  <c:v>494.58</c:v>
                </c:pt>
                <c:pt idx="317">
                  <c:v>493.08</c:v>
                </c:pt>
                <c:pt idx="318">
                  <c:v>494.54</c:v>
                </c:pt>
                <c:pt idx="319">
                  <c:v>489.21</c:v>
                </c:pt>
                <c:pt idx="320">
                  <c:v>488.25</c:v>
                </c:pt>
                <c:pt idx="321">
                  <c:v>495.96</c:v>
                </c:pt>
                <c:pt idx="322">
                  <c:v>494.85</c:v>
                </c:pt>
                <c:pt idx="323">
                  <c:v>493.75</c:v>
                </c:pt>
                <c:pt idx="324">
                  <c:v>500.6</c:v>
                </c:pt>
                <c:pt idx="325">
                  <c:v>498.58</c:v>
                </c:pt>
                <c:pt idx="326">
                  <c:v>500.41</c:v>
                </c:pt>
                <c:pt idx="327">
                  <c:v>500.11</c:v>
                </c:pt>
                <c:pt idx="328">
                  <c:v>502.9</c:v>
                </c:pt>
                <c:pt idx="329">
                  <c:v>502.7</c:v>
                </c:pt>
                <c:pt idx="330">
                  <c:v>508.74</c:v>
                </c:pt>
                <c:pt idx="331">
                  <c:v>507.1</c:v>
                </c:pt>
                <c:pt idx="332">
                  <c:v>507.11</c:v>
                </c:pt>
                <c:pt idx="333">
                  <c:v>502.35</c:v>
                </c:pt>
                <c:pt idx="334">
                  <c:v>502.95</c:v>
                </c:pt>
                <c:pt idx="335">
                  <c:v>507.93</c:v>
                </c:pt>
                <c:pt idx="336">
                  <c:v>510.74</c:v>
                </c:pt>
                <c:pt idx="337">
                  <c:v>509.54</c:v>
                </c:pt>
                <c:pt idx="338">
                  <c:v>509.61</c:v>
                </c:pt>
                <c:pt idx="339">
                  <c:v>510.28</c:v>
                </c:pt>
                <c:pt idx="340">
                  <c:v>530.41999999999996</c:v>
                </c:pt>
                <c:pt idx="341">
                  <c:v>521.08000000000004</c:v>
                </c:pt>
                <c:pt idx="342">
                  <c:v>532.54999999999995</c:v>
                </c:pt>
                <c:pt idx="343">
                  <c:v>524.70000000000005</c:v>
                </c:pt>
                <c:pt idx="344">
                  <c:v>521.91</c:v>
                </c:pt>
                <c:pt idx="345">
                  <c:v>517.83000000000004</c:v>
                </c:pt>
                <c:pt idx="346">
                  <c:v>519.02</c:v>
                </c:pt>
                <c:pt idx="347">
                  <c:v>518.76</c:v>
                </c:pt>
                <c:pt idx="348">
                  <c:v>526.17999999999995</c:v>
                </c:pt>
                <c:pt idx="349">
                  <c:v>517.57000000000005</c:v>
                </c:pt>
                <c:pt idx="350">
                  <c:v>519.46</c:v>
                </c:pt>
                <c:pt idx="351">
                  <c:v>517.16999999999996</c:v>
                </c:pt>
                <c:pt idx="352">
                  <c:v>514.11</c:v>
                </c:pt>
                <c:pt idx="353">
                  <c:v>506.83</c:v>
                </c:pt>
                <c:pt idx="354">
                  <c:v>502.8</c:v>
                </c:pt>
                <c:pt idx="355">
                  <c:v>502.15</c:v>
                </c:pt>
                <c:pt idx="356">
                  <c:v>505.13</c:v>
                </c:pt>
                <c:pt idx="357">
                  <c:v>502.17</c:v>
                </c:pt>
                <c:pt idx="358">
                  <c:v>499.96</c:v>
                </c:pt>
                <c:pt idx="359">
                  <c:v>504.64</c:v>
                </c:pt>
                <c:pt idx="360">
                  <c:v>507.53</c:v>
                </c:pt>
                <c:pt idx="361">
                  <c:v>504.59</c:v>
                </c:pt>
                <c:pt idx="362">
                  <c:v>503.03</c:v>
                </c:pt>
                <c:pt idx="363">
                  <c:v>503.26</c:v>
                </c:pt>
                <c:pt idx="364">
                  <c:v>505.87</c:v>
                </c:pt>
                <c:pt idx="365">
                  <c:v>492.95</c:v>
                </c:pt>
                <c:pt idx="366">
                  <c:v>496.14</c:v>
                </c:pt>
                <c:pt idx="367">
                  <c:v>496.35</c:v>
                </c:pt>
                <c:pt idx="368">
                  <c:v>498.3</c:v>
                </c:pt>
                <c:pt idx="369">
                  <c:v>498.94</c:v>
                </c:pt>
                <c:pt idx="370">
                  <c:v>507.79</c:v>
                </c:pt>
                <c:pt idx="371">
                  <c:v>513.23</c:v>
                </c:pt>
                <c:pt idx="372">
                  <c:v>506.93</c:v>
                </c:pt>
                <c:pt idx="373">
                  <c:v>507.91</c:v>
                </c:pt>
                <c:pt idx="374">
                  <c:v>506.34</c:v>
                </c:pt>
                <c:pt idx="375">
                  <c:v>515.79</c:v>
                </c:pt>
                <c:pt idx="376">
                  <c:v>512.32000000000005</c:v>
                </c:pt>
                <c:pt idx="377">
                  <c:v>507.12</c:v>
                </c:pt>
                <c:pt idx="378">
                  <c:v>508.04</c:v>
                </c:pt>
                <c:pt idx="379">
                  <c:v>504.93</c:v>
                </c:pt>
                <c:pt idx="380">
                  <c:v>509.34</c:v>
                </c:pt>
                <c:pt idx="381">
                  <c:v>512.47</c:v>
                </c:pt>
                <c:pt idx="382">
                  <c:v>515.80999999999995</c:v>
                </c:pt>
                <c:pt idx="383">
                  <c:v>517.55999999999995</c:v>
                </c:pt>
                <c:pt idx="384">
                  <c:v>513.6</c:v>
                </c:pt>
                <c:pt idx="385">
                  <c:v>515.21</c:v>
                </c:pt>
                <c:pt idx="386">
                  <c:v>526.38</c:v>
                </c:pt>
                <c:pt idx="387">
                  <c:v>521.80999999999995</c:v>
                </c:pt>
                <c:pt idx="388">
                  <c:v>522.67999999999995</c:v>
                </c:pt>
                <c:pt idx="389">
                  <c:v>520.24</c:v>
                </c:pt>
                <c:pt idx="390">
                  <c:v>508.84</c:v>
                </c:pt>
                <c:pt idx="391">
                  <c:v>511.92</c:v>
                </c:pt>
                <c:pt idx="392">
                  <c:v>511.44</c:v>
                </c:pt>
                <c:pt idx="393">
                  <c:v>511.3</c:v>
                </c:pt>
                <c:pt idx="394">
                  <c:v>509.49</c:v>
                </c:pt>
                <c:pt idx="395">
                  <c:v>511.45</c:v>
                </c:pt>
                <c:pt idx="396">
                  <c:v>514.65</c:v>
                </c:pt>
                <c:pt idx="397">
                  <c:v>515.52</c:v>
                </c:pt>
                <c:pt idx="398">
                  <c:v>518.38</c:v>
                </c:pt>
                <c:pt idx="399">
                  <c:v>518.4</c:v>
                </c:pt>
                <c:pt idx="400">
                  <c:v>521.44000000000005</c:v>
                </c:pt>
                <c:pt idx="401">
                  <c:v>529.32000000000005</c:v>
                </c:pt>
                <c:pt idx="402">
                  <c:v>539.83000000000004</c:v>
                </c:pt>
                <c:pt idx="403">
                  <c:v>539.30999999999995</c:v>
                </c:pt>
                <c:pt idx="404">
                  <c:v>523.58000000000004</c:v>
                </c:pt>
                <c:pt idx="405">
                  <c:v>515.66999999999996</c:v>
                </c:pt>
                <c:pt idx="406">
                  <c:v>514.89</c:v>
                </c:pt>
                <c:pt idx="407">
                  <c:v>512.20000000000005</c:v>
                </c:pt>
                <c:pt idx="408">
                  <c:v>505.06</c:v>
                </c:pt>
                <c:pt idx="409">
                  <c:v>495.04</c:v>
                </c:pt>
                <c:pt idx="410">
                  <c:v>494.76</c:v>
                </c:pt>
                <c:pt idx="411">
                  <c:v>503.9</c:v>
                </c:pt>
                <c:pt idx="412">
                  <c:v>506.57</c:v>
                </c:pt>
                <c:pt idx="413">
                  <c:v>509.02</c:v>
                </c:pt>
                <c:pt idx="414">
                  <c:v>501.21</c:v>
                </c:pt>
                <c:pt idx="415">
                  <c:v>508.07</c:v>
                </c:pt>
                <c:pt idx="416">
                  <c:v>505.39</c:v>
                </c:pt>
                <c:pt idx="417">
                  <c:v>491.75</c:v>
                </c:pt>
                <c:pt idx="418">
                  <c:v>485.1</c:v>
                </c:pt>
                <c:pt idx="419">
                  <c:v>477.34</c:v>
                </c:pt>
                <c:pt idx="420">
                  <c:v>471.04</c:v>
                </c:pt>
                <c:pt idx="421">
                  <c:v>472.92</c:v>
                </c:pt>
                <c:pt idx="422">
                  <c:v>475.9</c:v>
                </c:pt>
                <c:pt idx="423">
                  <c:v>484.39</c:v>
                </c:pt>
                <c:pt idx="424">
                  <c:v>490.89</c:v>
                </c:pt>
                <c:pt idx="425">
                  <c:v>485.63</c:v>
                </c:pt>
                <c:pt idx="426">
                  <c:v>488.88</c:v>
                </c:pt>
                <c:pt idx="427">
                  <c:v>476.64</c:v>
                </c:pt>
                <c:pt idx="428">
                  <c:v>479.74</c:v>
                </c:pt>
                <c:pt idx="429">
                  <c:v>482.06</c:v>
                </c:pt>
                <c:pt idx="430">
                  <c:v>489.9</c:v>
                </c:pt>
                <c:pt idx="431">
                  <c:v>490.9</c:v>
                </c:pt>
                <c:pt idx="432">
                  <c:v>477.47</c:v>
                </c:pt>
                <c:pt idx="433">
                  <c:v>482.37</c:v>
                </c:pt>
                <c:pt idx="434">
                  <c:v>477.44</c:v>
                </c:pt>
                <c:pt idx="435">
                  <c:v>473.74</c:v>
                </c:pt>
                <c:pt idx="436">
                  <c:v>475.31</c:v>
                </c:pt>
                <c:pt idx="437">
                  <c:v>475.04</c:v>
                </c:pt>
                <c:pt idx="438">
                  <c:v>482.88</c:v>
                </c:pt>
                <c:pt idx="439">
                  <c:v>484.81</c:v>
                </c:pt>
                <c:pt idx="440">
                  <c:v>483.82</c:v>
                </c:pt>
                <c:pt idx="441">
                  <c:v>485.74</c:v>
                </c:pt>
                <c:pt idx="442">
                  <c:v>486.91</c:v>
                </c:pt>
                <c:pt idx="443">
                  <c:v>486.6</c:v>
                </c:pt>
                <c:pt idx="444">
                  <c:v>485.99</c:v>
                </c:pt>
                <c:pt idx="445">
                  <c:v>486.37</c:v>
                </c:pt>
                <c:pt idx="446">
                  <c:v>482.52</c:v>
                </c:pt>
                <c:pt idx="447">
                  <c:v>471.86</c:v>
                </c:pt>
                <c:pt idx="448">
                  <c:v>471.77</c:v>
                </c:pt>
                <c:pt idx="449">
                  <c:v>477.42</c:v>
                </c:pt>
                <c:pt idx="450">
                  <c:v>482.37</c:v>
                </c:pt>
                <c:pt idx="451">
                  <c:v>477.02</c:v>
                </c:pt>
                <c:pt idx="452">
                  <c:v>478.19</c:v>
                </c:pt>
                <c:pt idx="453">
                  <c:v>476.09</c:v>
                </c:pt>
                <c:pt idx="454">
                  <c:v>469.6</c:v>
                </c:pt>
                <c:pt idx="455">
                  <c:v>458.33</c:v>
                </c:pt>
                <c:pt idx="456">
                  <c:v>455.62</c:v>
                </c:pt>
                <c:pt idx="457">
                  <c:v>458.81</c:v>
                </c:pt>
                <c:pt idx="458">
                  <c:v>453.48</c:v>
                </c:pt>
                <c:pt idx="459">
                  <c:v>443.1</c:v>
                </c:pt>
                <c:pt idx="460">
                  <c:v>450.11</c:v>
                </c:pt>
                <c:pt idx="461">
                  <c:v>464.89</c:v>
                </c:pt>
                <c:pt idx="462">
                  <c:v>469.21</c:v>
                </c:pt>
                <c:pt idx="463">
                  <c:v>479.49</c:v>
                </c:pt>
                <c:pt idx="464">
                  <c:v>480.53</c:v>
                </c:pt>
                <c:pt idx="465">
                  <c:v>432.51</c:v>
                </c:pt>
                <c:pt idx="466">
                  <c:v>429.31</c:v>
                </c:pt>
                <c:pt idx="467">
                  <c:v>422.41</c:v>
                </c:pt>
                <c:pt idx="468">
                  <c:v>410.27</c:v>
                </c:pt>
                <c:pt idx="469">
                  <c:v>413.25</c:v>
                </c:pt>
                <c:pt idx="470">
                  <c:v>392.77</c:v>
                </c:pt>
                <c:pt idx="471">
                  <c:v>400.23</c:v>
                </c:pt>
                <c:pt idx="472">
                  <c:v>412.66</c:v>
                </c:pt>
                <c:pt idx="473">
                  <c:v>412.33</c:v>
                </c:pt>
                <c:pt idx="474">
                  <c:v>403.45</c:v>
                </c:pt>
                <c:pt idx="475">
                  <c:v>400.92</c:v>
                </c:pt>
                <c:pt idx="476">
                  <c:v>400.41</c:v>
                </c:pt>
                <c:pt idx="477">
                  <c:v>395.96</c:v>
                </c:pt>
                <c:pt idx="478">
                  <c:v>398.69</c:v>
                </c:pt>
                <c:pt idx="479">
                  <c:v>398.46</c:v>
                </c:pt>
                <c:pt idx="480">
                  <c:v>397.23</c:v>
                </c:pt>
                <c:pt idx="481">
                  <c:v>384.47</c:v>
                </c:pt>
                <c:pt idx="482">
                  <c:v>389</c:v>
                </c:pt>
                <c:pt idx="483">
                  <c:v>400.6</c:v>
                </c:pt>
                <c:pt idx="484">
                  <c:v>401.72</c:v>
                </c:pt>
                <c:pt idx="485">
                  <c:v>392.74</c:v>
                </c:pt>
                <c:pt idx="486">
                  <c:v>398.55</c:v>
                </c:pt>
                <c:pt idx="487">
                  <c:v>403.93</c:v>
                </c:pt>
                <c:pt idx="488">
                  <c:v>405.2</c:v>
                </c:pt>
                <c:pt idx="489">
                  <c:v>410.68</c:v>
                </c:pt>
                <c:pt idx="490">
                  <c:v>408.96</c:v>
                </c:pt>
                <c:pt idx="491">
                  <c:v>409.41</c:v>
                </c:pt>
                <c:pt idx="492">
                  <c:v>405.76</c:v>
                </c:pt>
                <c:pt idx="493">
                  <c:v>404.88</c:v>
                </c:pt>
                <c:pt idx="494">
                  <c:v>401.86</c:v>
                </c:pt>
                <c:pt idx="495">
                  <c:v>395.55</c:v>
                </c:pt>
                <c:pt idx="496">
                  <c:v>399.95</c:v>
                </c:pt>
                <c:pt idx="497">
                  <c:v>399.41</c:v>
                </c:pt>
                <c:pt idx="498">
                  <c:v>391.79</c:v>
                </c:pt>
                <c:pt idx="499">
                  <c:v>389.02</c:v>
                </c:pt>
                <c:pt idx="500">
                  <c:v>381.87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B-409F-A74E-A8E6D3812DE7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GOOGL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data!$D$2:$D$515</c:f>
              <c:numCache>
                <c:formatCode>General</c:formatCode>
                <c:ptCount val="514"/>
                <c:pt idx="0">
                  <c:v>146.38999999999999</c:v>
                </c:pt>
                <c:pt idx="1">
                  <c:v>149.53</c:v>
                </c:pt>
                <c:pt idx="2">
                  <c:v>148.84</c:v>
                </c:pt>
                <c:pt idx="3">
                  <c:v>149.43</c:v>
                </c:pt>
                <c:pt idx="4">
                  <c:v>149.63</c:v>
                </c:pt>
                <c:pt idx="5">
                  <c:v>149.69</c:v>
                </c:pt>
                <c:pt idx="6">
                  <c:v>154.22</c:v>
                </c:pt>
                <c:pt idx="7">
                  <c:v>153.29</c:v>
                </c:pt>
                <c:pt idx="8">
                  <c:v>153.65</c:v>
                </c:pt>
                <c:pt idx="9">
                  <c:v>149.30000000000001</c:v>
                </c:pt>
                <c:pt idx="10">
                  <c:v>151.25</c:v>
                </c:pt>
                <c:pt idx="11">
                  <c:v>153.58000000000001</c:v>
                </c:pt>
                <c:pt idx="12">
                  <c:v>155.32</c:v>
                </c:pt>
                <c:pt idx="13">
                  <c:v>154.86000000000001</c:v>
                </c:pt>
                <c:pt idx="14">
                  <c:v>158.1</c:v>
                </c:pt>
                <c:pt idx="15">
                  <c:v>156.44</c:v>
                </c:pt>
                <c:pt idx="16">
                  <c:v>153.59</c:v>
                </c:pt>
                <c:pt idx="17">
                  <c:v>153.13</c:v>
                </c:pt>
                <c:pt idx="18">
                  <c:v>154.19999999999999</c:v>
                </c:pt>
                <c:pt idx="19">
                  <c:v>154.72999999999999</c:v>
                </c:pt>
                <c:pt idx="20">
                  <c:v>152.83000000000001</c:v>
                </c:pt>
                <c:pt idx="21">
                  <c:v>155</c:v>
                </c:pt>
                <c:pt idx="22">
                  <c:v>156.96</c:v>
                </c:pt>
                <c:pt idx="23">
                  <c:v>157.83000000000001</c:v>
                </c:pt>
                <c:pt idx="24">
                  <c:v>154.72</c:v>
                </c:pt>
                <c:pt idx="25">
                  <c:v>170.54</c:v>
                </c:pt>
                <c:pt idx="26">
                  <c:v>164.79</c:v>
                </c:pt>
                <c:pt idx="27">
                  <c:v>161.44999999999999</c:v>
                </c:pt>
                <c:pt idx="28">
                  <c:v>162.52000000000001</c:v>
                </c:pt>
                <c:pt idx="29">
                  <c:v>165.25</c:v>
                </c:pt>
                <c:pt idx="30">
                  <c:v>165.87</c:v>
                </c:pt>
                <c:pt idx="31">
                  <c:v>166.72</c:v>
                </c:pt>
                <c:pt idx="32">
                  <c:v>169.85</c:v>
                </c:pt>
                <c:pt idx="33">
                  <c:v>167.99</c:v>
                </c:pt>
                <c:pt idx="34">
                  <c:v>168.57</c:v>
                </c:pt>
                <c:pt idx="35">
                  <c:v>167.27</c:v>
                </c:pt>
                <c:pt idx="36">
                  <c:v>167.75</c:v>
                </c:pt>
                <c:pt idx="37">
                  <c:v>168.94</c:v>
                </c:pt>
                <c:pt idx="38">
                  <c:v>171.1</c:v>
                </c:pt>
                <c:pt idx="39">
                  <c:v>172.75</c:v>
                </c:pt>
                <c:pt idx="40">
                  <c:v>174.62</c:v>
                </c:pt>
                <c:pt idx="41">
                  <c:v>175.47</c:v>
                </c:pt>
                <c:pt idx="42">
                  <c:v>176.39</c:v>
                </c:pt>
                <c:pt idx="43">
                  <c:v>174.93</c:v>
                </c:pt>
                <c:pt idx="44">
                  <c:v>172.13</c:v>
                </c:pt>
                <c:pt idx="45">
                  <c:v>173.56</c:v>
                </c:pt>
                <c:pt idx="46">
                  <c:v>174.95</c:v>
                </c:pt>
                <c:pt idx="47">
                  <c:v>174.46</c:v>
                </c:pt>
                <c:pt idx="48">
                  <c:v>170.7</c:v>
                </c:pt>
                <c:pt idx="49">
                  <c:v>171.09</c:v>
                </c:pt>
                <c:pt idx="50">
                  <c:v>171.75</c:v>
                </c:pt>
                <c:pt idx="51">
                  <c:v>172.37</c:v>
                </c:pt>
                <c:pt idx="52">
                  <c:v>173.97</c:v>
                </c:pt>
                <c:pt idx="53">
                  <c:v>175.28</c:v>
                </c:pt>
                <c:pt idx="54">
                  <c:v>173.03</c:v>
                </c:pt>
                <c:pt idx="55">
                  <c:v>173.77</c:v>
                </c:pt>
                <c:pt idx="56">
                  <c:v>175.37</c:v>
                </c:pt>
                <c:pt idx="57">
                  <c:v>176.53</c:v>
                </c:pt>
                <c:pt idx="58">
                  <c:v>173.92</c:v>
                </c:pt>
                <c:pt idx="59">
                  <c:v>175.54</c:v>
                </c:pt>
                <c:pt idx="60">
                  <c:v>175.99</c:v>
                </c:pt>
                <c:pt idx="61">
                  <c:v>173.85</c:v>
                </c:pt>
                <c:pt idx="62">
                  <c:v>175.06</c:v>
                </c:pt>
                <c:pt idx="63">
                  <c:v>178.36</c:v>
                </c:pt>
                <c:pt idx="64">
                  <c:v>177.95</c:v>
                </c:pt>
                <c:pt idx="65">
                  <c:v>182.73</c:v>
                </c:pt>
                <c:pt idx="66">
                  <c:v>182.58</c:v>
                </c:pt>
                <c:pt idx="67">
                  <c:v>184.1</c:v>
                </c:pt>
                <c:pt idx="68">
                  <c:v>180.86</c:v>
                </c:pt>
                <c:pt idx="69">
                  <c:v>181.7</c:v>
                </c:pt>
                <c:pt idx="70">
                  <c:v>183.93</c:v>
                </c:pt>
                <c:pt idx="71">
                  <c:v>184.51</c:v>
                </c:pt>
                <c:pt idx="72">
                  <c:v>189.25</c:v>
                </c:pt>
                <c:pt idx="73">
                  <c:v>187.7</c:v>
                </c:pt>
                <c:pt idx="74">
                  <c:v>187.65</c:v>
                </c:pt>
                <c:pt idx="75">
                  <c:v>189.83</c:v>
                </c:pt>
                <c:pt idx="76">
                  <c:v>184.26</c:v>
                </c:pt>
                <c:pt idx="77">
                  <c:v>183.76</c:v>
                </c:pt>
                <c:pt idx="78">
                  <c:v>185.21</c:v>
                </c:pt>
                <c:pt idx="79">
                  <c:v>182.62</c:v>
                </c:pt>
                <c:pt idx="80">
                  <c:v>179.74</c:v>
                </c:pt>
                <c:pt idx="81">
                  <c:v>176.44</c:v>
                </c:pt>
                <c:pt idx="82">
                  <c:v>176.41</c:v>
                </c:pt>
                <c:pt idx="83">
                  <c:v>180.39</c:v>
                </c:pt>
                <c:pt idx="84">
                  <c:v>180.51</c:v>
                </c:pt>
                <c:pt idx="85">
                  <c:v>171.41</c:v>
                </c:pt>
                <c:pt idx="86">
                  <c:v>166.1</c:v>
                </c:pt>
                <c:pt idx="87">
                  <c:v>165.82</c:v>
                </c:pt>
                <c:pt idx="88">
                  <c:v>168.33</c:v>
                </c:pt>
                <c:pt idx="89">
                  <c:v>169.09</c:v>
                </c:pt>
                <c:pt idx="90">
                  <c:v>170.33</c:v>
                </c:pt>
                <c:pt idx="91">
                  <c:v>169.55</c:v>
                </c:pt>
                <c:pt idx="92">
                  <c:v>165.48</c:v>
                </c:pt>
                <c:pt idx="93">
                  <c:v>158.13</c:v>
                </c:pt>
                <c:pt idx="94">
                  <c:v>157.16999999999999</c:v>
                </c:pt>
                <c:pt idx="95">
                  <c:v>157.82</c:v>
                </c:pt>
                <c:pt idx="96">
                  <c:v>160.88999999999999</c:v>
                </c:pt>
                <c:pt idx="97">
                  <c:v>162.51</c:v>
                </c:pt>
                <c:pt idx="98">
                  <c:v>161.13999999999999</c:v>
                </c:pt>
                <c:pt idx="99">
                  <c:v>163</c:v>
                </c:pt>
                <c:pt idx="100">
                  <c:v>159.24</c:v>
                </c:pt>
                <c:pt idx="101">
                  <c:v>160.16</c:v>
                </c:pt>
                <c:pt idx="102">
                  <c:v>161.81</c:v>
                </c:pt>
                <c:pt idx="103">
                  <c:v>165.49</c:v>
                </c:pt>
                <c:pt idx="104">
                  <c:v>166</c:v>
                </c:pt>
                <c:pt idx="105">
                  <c:v>164.68</c:v>
                </c:pt>
                <c:pt idx="106">
                  <c:v>162.63999999999999</c:v>
                </c:pt>
                <c:pt idx="107">
                  <c:v>164.45</c:v>
                </c:pt>
                <c:pt idx="108">
                  <c:v>164.99</c:v>
                </c:pt>
                <c:pt idx="109">
                  <c:v>163.52000000000001</c:v>
                </c:pt>
                <c:pt idx="110">
                  <c:v>161.69999999999999</c:v>
                </c:pt>
                <c:pt idx="111">
                  <c:v>160.63999999999999</c:v>
                </c:pt>
                <c:pt idx="112">
                  <c:v>162.22999999999999</c:v>
                </c:pt>
                <c:pt idx="113">
                  <c:v>156.25</c:v>
                </c:pt>
                <c:pt idx="114">
                  <c:v>155.35</c:v>
                </c:pt>
                <c:pt idx="115">
                  <c:v>156.13</c:v>
                </c:pt>
                <c:pt idx="116">
                  <c:v>149.85</c:v>
                </c:pt>
                <c:pt idx="117">
                  <c:v>147.86000000000001</c:v>
                </c:pt>
                <c:pt idx="118">
                  <c:v>147.81</c:v>
                </c:pt>
                <c:pt idx="119">
                  <c:v>150.29</c:v>
                </c:pt>
                <c:pt idx="120">
                  <c:v>153.80000000000001</c:v>
                </c:pt>
                <c:pt idx="121">
                  <c:v>156.56</c:v>
                </c:pt>
                <c:pt idx="122">
                  <c:v>157.15</c:v>
                </c:pt>
                <c:pt idx="123">
                  <c:v>158.41</c:v>
                </c:pt>
                <c:pt idx="124">
                  <c:v>158.88999999999999</c:v>
                </c:pt>
                <c:pt idx="125">
                  <c:v>161.21</c:v>
                </c:pt>
                <c:pt idx="126">
                  <c:v>162.65</c:v>
                </c:pt>
                <c:pt idx="127">
                  <c:v>160.91999999999999</c:v>
                </c:pt>
                <c:pt idx="128">
                  <c:v>161.36000000000001</c:v>
                </c:pt>
                <c:pt idx="129">
                  <c:v>160.56</c:v>
                </c:pt>
                <c:pt idx="130">
                  <c:v>161.80000000000001</c:v>
                </c:pt>
                <c:pt idx="131">
                  <c:v>163.01</c:v>
                </c:pt>
                <c:pt idx="132">
                  <c:v>164.9</c:v>
                </c:pt>
                <c:pt idx="133">
                  <c:v>166.03</c:v>
                </c:pt>
                <c:pt idx="134">
                  <c:v>164.91</c:v>
                </c:pt>
                <c:pt idx="135">
                  <c:v>164.91</c:v>
                </c:pt>
                <c:pt idx="136">
                  <c:v>166.1</c:v>
                </c:pt>
                <c:pt idx="137">
                  <c:v>162.04</c:v>
                </c:pt>
                <c:pt idx="138">
                  <c:v>163.44</c:v>
                </c:pt>
                <c:pt idx="139">
                  <c:v>160.93</c:v>
                </c:pt>
                <c:pt idx="140">
                  <c:v>161.15</c:v>
                </c:pt>
                <c:pt idx="141">
                  <c:v>162.30000000000001</c:v>
                </c:pt>
                <c:pt idx="142">
                  <c:v>164.01</c:v>
                </c:pt>
                <c:pt idx="143">
                  <c:v>164.51</c:v>
                </c:pt>
                <c:pt idx="144">
                  <c:v>164.21</c:v>
                </c:pt>
                <c:pt idx="145">
                  <c:v>161.99</c:v>
                </c:pt>
                <c:pt idx="146">
                  <c:v>162.47999999999999</c:v>
                </c:pt>
                <c:pt idx="147">
                  <c:v>163.13</c:v>
                </c:pt>
                <c:pt idx="148">
                  <c:v>164.19</c:v>
                </c:pt>
                <c:pt idx="149">
                  <c:v>161.85</c:v>
                </c:pt>
                <c:pt idx="150">
                  <c:v>161.79</c:v>
                </c:pt>
                <c:pt idx="151">
                  <c:v>164.32</c:v>
                </c:pt>
                <c:pt idx="152">
                  <c:v>165.76</c:v>
                </c:pt>
                <c:pt idx="153">
                  <c:v>168.71</c:v>
                </c:pt>
                <c:pt idx="154">
                  <c:v>173.46</c:v>
                </c:pt>
                <c:pt idx="155">
                  <c:v>170.13</c:v>
                </c:pt>
                <c:pt idx="156">
                  <c:v>170.31</c:v>
                </c:pt>
                <c:pt idx="157">
                  <c:v>168.27</c:v>
                </c:pt>
                <c:pt idx="158">
                  <c:v>168.77</c:v>
                </c:pt>
                <c:pt idx="159">
                  <c:v>175.5</c:v>
                </c:pt>
                <c:pt idx="160">
                  <c:v>179.71</c:v>
                </c:pt>
                <c:pt idx="161">
                  <c:v>177.33</c:v>
                </c:pt>
                <c:pt idx="162">
                  <c:v>179.31</c:v>
                </c:pt>
                <c:pt idx="163">
                  <c:v>180.58</c:v>
                </c:pt>
                <c:pt idx="164">
                  <c:v>177.85</c:v>
                </c:pt>
                <c:pt idx="165">
                  <c:v>174.57</c:v>
                </c:pt>
                <c:pt idx="166">
                  <c:v>171.5</c:v>
                </c:pt>
                <c:pt idx="167">
                  <c:v>174.29</c:v>
                </c:pt>
                <c:pt idx="168">
                  <c:v>177.1</c:v>
                </c:pt>
                <c:pt idx="169">
                  <c:v>174.97</c:v>
                </c:pt>
                <c:pt idx="170">
                  <c:v>166.67</c:v>
                </c:pt>
                <c:pt idx="171">
                  <c:v>163.81</c:v>
                </c:pt>
                <c:pt idx="172">
                  <c:v>166.69</c:v>
                </c:pt>
                <c:pt idx="173">
                  <c:v>168.15</c:v>
                </c:pt>
                <c:pt idx="174">
                  <c:v>168.26</c:v>
                </c:pt>
                <c:pt idx="175">
                  <c:v>167.98</c:v>
                </c:pt>
                <c:pt idx="176">
                  <c:v>170.51</c:v>
                </c:pt>
                <c:pt idx="177">
                  <c:v>170.36</c:v>
                </c:pt>
                <c:pt idx="178">
                  <c:v>173.37</c:v>
                </c:pt>
                <c:pt idx="179">
                  <c:v>171.65</c:v>
                </c:pt>
                <c:pt idx="180">
                  <c:v>173.71</c:v>
                </c:pt>
                <c:pt idx="181">
                  <c:v>174.56</c:v>
                </c:pt>
                <c:pt idx="182">
                  <c:v>184.32</c:v>
                </c:pt>
                <c:pt idx="183">
                  <c:v>194.5</c:v>
                </c:pt>
                <c:pt idx="184">
                  <c:v>191.08</c:v>
                </c:pt>
                <c:pt idx="185">
                  <c:v>188.95</c:v>
                </c:pt>
                <c:pt idx="186">
                  <c:v>195.76</c:v>
                </c:pt>
                <c:pt idx="187">
                  <c:v>194.52</c:v>
                </c:pt>
                <c:pt idx="188">
                  <c:v>187.53</c:v>
                </c:pt>
                <c:pt idx="189">
                  <c:v>187.64</c:v>
                </c:pt>
                <c:pt idx="190">
                  <c:v>190.53</c:v>
                </c:pt>
                <c:pt idx="191">
                  <c:v>193.73</c:v>
                </c:pt>
                <c:pt idx="192">
                  <c:v>195.21</c:v>
                </c:pt>
                <c:pt idx="193">
                  <c:v>194.7</c:v>
                </c:pt>
                <c:pt idx="194">
                  <c:v>191.87</c:v>
                </c:pt>
                <c:pt idx="195">
                  <c:v>190.36</c:v>
                </c:pt>
                <c:pt idx="196">
                  <c:v>188.43</c:v>
                </c:pt>
                <c:pt idx="197">
                  <c:v>188.56</c:v>
                </c:pt>
                <c:pt idx="198">
                  <c:v>190.91</c:v>
                </c:pt>
                <c:pt idx="199">
                  <c:v>195.96</c:v>
                </c:pt>
                <c:pt idx="200">
                  <c:v>194.59</c:v>
                </c:pt>
                <c:pt idx="201">
                  <c:v>193.06</c:v>
                </c:pt>
                <c:pt idx="202">
                  <c:v>191.16</c:v>
                </c:pt>
                <c:pt idx="203">
                  <c:v>190.13</c:v>
                </c:pt>
                <c:pt idx="204">
                  <c:v>188.79</c:v>
                </c:pt>
                <c:pt idx="205">
                  <c:v>194.65</c:v>
                </c:pt>
                <c:pt idx="206">
                  <c:v>192.02</c:v>
                </c:pt>
                <c:pt idx="207">
                  <c:v>195.1</c:v>
                </c:pt>
                <c:pt idx="208">
                  <c:v>197.14</c:v>
                </c:pt>
                <c:pt idx="209">
                  <c:v>197.46</c:v>
                </c:pt>
                <c:pt idx="210">
                  <c:v>197.07</c:v>
                </c:pt>
                <c:pt idx="211">
                  <c:v>199.29</c:v>
                </c:pt>
                <c:pt idx="212">
                  <c:v>190.93</c:v>
                </c:pt>
                <c:pt idx="213">
                  <c:v>194.4</c:v>
                </c:pt>
                <c:pt idx="214">
                  <c:v>194.51</c:v>
                </c:pt>
                <c:pt idx="215">
                  <c:v>199.95</c:v>
                </c:pt>
                <c:pt idx="216">
                  <c:v>203.08</c:v>
                </c:pt>
                <c:pt idx="217">
                  <c:v>200.3</c:v>
                </c:pt>
                <c:pt idx="218">
                  <c:v>205.43</c:v>
                </c:pt>
                <c:pt idx="219">
                  <c:v>190.45</c:v>
                </c:pt>
                <c:pt idx="220">
                  <c:v>190.72</c:v>
                </c:pt>
                <c:pt idx="221">
                  <c:v>184.49</c:v>
                </c:pt>
                <c:pt idx="222">
                  <c:v>185.61</c:v>
                </c:pt>
                <c:pt idx="223">
                  <c:v>184.47</c:v>
                </c:pt>
                <c:pt idx="224">
                  <c:v>182.77</c:v>
                </c:pt>
                <c:pt idx="225">
                  <c:v>185.28</c:v>
                </c:pt>
                <c:pt idx="226">
                  <c:v>184.38</c:v>
                </c:pt>
                <c:pt idx="227">
                  <c:v>182.92</c:v>
                </c:pt>
                <c:pt idx="228">
                  <c:v>184.42</c:v>
                </c:pt>
                <c:pt idx="229">
                  <c:v>183.71</c:v>
                </c:pt>
                <c:pt idx="230">
                  <c:v>178.83</c:v>
                </c:pt>
                <c:pt idx="231">
                  <c:v>178.43</c:v>
                </c:pt>
                <c:pt idx="232">
                  <c:v>174.61</c:v>
                </c:pt>
                <c:pt idx="233">
                  <c:v>171.94</c:v>
                </c:pt>
                <c:pt idx="234">
                  <c:v>167.72</c:v>
                </c:pt>
                <c:pt idx="235">
                  <c:v>169.5</c:v>
                </c:pt>
                <c:pt idx="236">
                  <c:v>166.24</c:v>
                </c:pt>
                <c:pt idx="237">
                  <c:v>170.13</c:v>
                </c:pt>
                <c:pt idx="238">
                  <c:v>172.22</c:v>
                </c:pt>
                <c:pt idx="239">
                  <c:v>171.56</c:v>
                </c:pt>
                <c:pt idx="240">
                  <c:v>173.06</c:v>
                </c:pt>
                <c:pt idx="241">
                  <c:v>165.3</c:v>
                </c:pt>
                <c:pt idx="242">
                  <c:v>163.47</c:v>
                </c:pt>
                <c:pt idx="243">
                  <c:v>166.53</c:v>
                </c:pt>
                <c:pt idx="244">
                  <c:v>162.19999999999999</c:v>
                </c:pt>
                <c:pt idx="245">
                  <c:v>164.92</c:v>
                </c:pt>
                <c:pt idx="246">
                  <c:v>163.72</c:v>
                </c:pt>
                <c:pt idx="247">
                  <c:v>160.11000000000001</c:v>
                </c:pt>
                <c:pt idx="248">
                  <c:v>163.32</c:v>
                </c:pt>
                <c:pt idx="249">
                  <c:v>162.24</c:v>
                </c:pt>
                <c:pt idx="250">
                  <c:v>163.41999999999999</c:v>
                </c:pt>
                <c:pt idx="251">
                  <c:v>167.1</c:v>
                </c:pt>
                <c:pt idx="252">
                  <c:v>169.97</c:v>
                </c:pt>
                <c:pt idx="253">
                  <c:v>164.49</c:v>
                </c:pt>
                <c:pt idx="254">
                  <c:v>161.68</c:v>
                </c:pt>
                <c:pt idx="255">
                  <c:v>153.80000000000001</c:v>
                </c:pt>
                <c:pt idx="256">
                  <c:v>154.11000000000001</c:v>
                </c:pt>
                <c:pt idx="257">
                  <c:v>156.53</c:v>
                </c:pt>
                <c:pt idx="258">
                  <c:v>156.5</c:v>
                </c:pt>
                <c:pt idx="259">
                  <c:v>150.19999999999999</c:v>
                </c:pt>
                <c:pt idx="260">
                  <c:v>145.1</c:v>
                </c:pt>
                <c:pt idx="261">
                  <c:v>146.24</c:v>
                </c:pt>
                <c:pt idx="262">
                  <c:v>144.19999999999999</c:v>
                </c:pt>
                <c:pt idx="263">
                  <c:v>158.16</c:v>
                </c:pt>
                <c:pt idx="264">
                  <c:v>152.29</c:v>
                </c:pt>
                <c:pt idx="265">
                  <c:v>156.6</c:v>
                </c:pt>
                <c:pt idx="266">
                  <c:v>158.52000000000001</c:v>
                </c:pt>
                <c:pt idx="267">
                  <c:v>155.77000000000001</c:v>
                </c:pt>
                <c:pt idx="268">
                  <c:v>152.80000000000001</c:v>
                </c:pt>
                <c:pt idx="269">
                  <c:v>150.63999999999999</c:v>
                </c:pt>
                <c:pt idx="270">
                  <c:v>147.16</c:v>
                </c:pt>
                <c:pt idx="271">
                  <c:v>150.94999999999999</c:v>
                </c:pt>
                <c:pt idx="272">
                  <c:v>154.81</c:v>
                </c:pt>
                <c:pt idx="273">
                  <c:v>158.72999999999999</c:v>
                </c:pt>
                <c:pt idx="274">
                  <c:v>161.4</c:v>
                </c:pt>
                <c:pt idx="275">
                  <c:v>160.06</c:v>
                </c:pt>
                <c:pt idx="276">
                  <c:v>159.61000000000001</c:v>
                </c:pt>
                <c:pt idx="277">
                  <c:v>158.25</c:v>
                </c:pt>
                <c:pt idx="278">
                  <c:v>160.74</c:v>
                </c:pt>
                <c:pt idx="279">
                  <c:v>163.46</c:v>
                </c:pt>
                <c:pt idx="280">
                  <c:v>163.63999999999999</c:v>
                </c:pt>
                <c:pt idx="281">
                  <c:v>162.66999999999999</c:v>
                </c:pt>
                <c:pt idx="282">
                  <c:v>150.86000000000001</c:v>
                </c:pt>
                <c:pt idx="283">
                  <c:v>153.75</c:v>
                </c:pt>
                <c:pt idx="284">
                  <c:v>152.22</c:v>
                </c:pt>
                <c:pt idx="285">
                  <c:v>157.91</c:v>
                </c:pt>
                <c:pt idx="286">
                  <c:v>158.97999999999999</c:v>
                </c:pt>
                <c:pt idx="287">
                  <c:v>164.8</c:v>
                </c:pt>
                <c:pt idx="288">
                  <c:v>163.38999999999999</c:v>
                </c:pt>
                <c:pt idx="289">
                  <c:v>165.62</c:v>
                </c:pt>
                <c:pt idx="290">
                  <c:v>165.96</c:v>
                </c:pt>
                <c:pt idx="291">
                  <c:v>163.41</c:v>
                </c:pt>
                <c:pt idx="292">
                  <c:v>167.98</c:v>
                </c:pt>
                <c:pt idx="293">
                  <c:v>170.28</c:v>
                </c:pt>
                <c:pt idx="294">
                  <c:v>167.89</c:v>
                </c:pt>
                <c:pt idx="295">
                  <c:v>172.3</c:v>
                </c:pt>
                <c:pt idx="296">
                  <c:v>171.76</c:v>
                </c:pt>
                <c:pt idx="297">
                  <c:v>171.27</c:v>
                </c:pt>
                <c:pt idx="298">
                  <c:v>171.15</c:v>
                </c:pt>
                <c:pt idx="299">
                  <c:v>168.45</c:v>
                </c:pt>
                <c:pt idx="300">
                  <c:v>165.61</c:v>
                </c:pt>
                <c:pt idx="301">
                  <c:v>167.47</c:v>
                </c:pt>
                <c:pt idx="302">
                  <c:v>167.63</c:v>
                </c:pt>
                <c:pt idx="303">
                  <c:v>173.08</c:v>
                </c:pt>
                <c:pt idx="304">
                  <c:v>175.69</c:v>
                </c:pt>
                <c:pt idx="305">
                  <c:v>178.2</c:v>
                </c:pt>
                <c:pt idx="306">
                  <c:v>176.95</c:v>
                </c:pt>
                <c:pt idx="307">
                  <c:v>175.3</c:v>
                </c:pt>
                <c:pt idx="308">
                  <c:v>174.28</c:v>
                </c:pt>
                <c:pt idx="309">
                  <c:v>176.37</c:v>
                </c:pt>
                <c:pt idx="310">
                  <c:v>175.55</c:v>
                </c:pt>
                <c:pt idx="311">
                  <c:v>172.93</c:v>
                </c:pt>
                <c:pt idx="312">
                  <c:v>166.27</c:v>
                </c:pt>
                <c:pt idx="313">
                  <c:v>164.82</c:v>
                </c:pt>
                <c:pt idx="314">
                  <c:v>166.39</c:v>
                </c:pt>
                <c:pt idx="315">
                  <c:v>170.3</c:v>
                </c:pt>
                <c:pt idx="316">
                  <c:v>173.15</c:v>
                </c:pt>
                <c:pt idx="317">
                  <c:v>178.13</c:v>
                </c:pt>
                <c:pt idx="318">
                  <c:v>175.83</c:v>
                </c:pt>
                <c:pt idx="319">
                  <c:v>175.44</c:v>
                </c:pt>
                <c:pt idx="320">
                  <c:v>178.24</c:v>
                </c:pt>
                <c:pt idx="321">
                  <c:v>179.13</c:v>
                </c:pt>
                <c:pt idx="322">
                  <c:v>176.39</c:v>
                </c:pt>
                <c:pt idx="323">
                  <c:v>173.97</c:v>
                </c:pt>
                <c:pt idx="324">
                  <c:v>176.22</c:v>
                </c:pt>
                <c:pt idx="325">
                  <c:v>177.22</c:v>
                </c:pt>
                <c:pt idx="326">
                  <c:v>179.78</c:v>
                </c:pt>
                <c:pt idx="327">
                  <c:v>181.15</c:v>
                </c:pt>
                <c:pt idx="328">
                  <c:v>181.59</c:v>
                </c:pt>
                <c:pt idx="329">
                  <c:v>182.56</c:v>
                </c:pt>
                <c:pt idx="330">
                  <c:v>183.17</c:v>
                </c:pt>
                <c:pt idx="331">
                  <c:v>184.64</c:v>
                </c:pt>
                <c:pt idx="332">
                  <c:v>189.67</c:v>
                </c:pt>
                <c:pt idx="333">
                  <c:v>190.91</c:v>
                </c:pt>
                <c:pt idx="334">
                  <c:v>189.8</c:v>
                </c:pt>
                <c:pt idx="335">
                  <c:v>191.74</c:v>
                </c:pt>
                <c:pt idx="336">
                  <c:v>192.75</c:v>
                </c:pt>
                <c:pt idx="337">
                  <c:v>192.15</c:v>
                </c:pt>
                <c:pt idx="338">
                  <c:v>195.31</c:v>
                </c:pt>
                <c:pt idx="339">
                  <c:v>196.09</c:v>
                </c:pt>
                <c:pt idx="340">
                  <c:v>191.47</c:v>
                </c:pt>
                <c:pt idx="341">
                  <c:v>188.7</c:v>
                </c:pt>
                <c:pt idx="342">
                  <c:v>194.6</c:v>
                </c:pt>
                <c:pt idx="343">
                  <c:v>194.23</c:v>
                </c:pt>
                <c:pt idx="344">
                  <c:v>195.65</c:v>
                </c:pt>
                <c:pt idx="345">
                  <c:v>196.08</c:v>
                </c:pt>
                <c:pt idx="346">
                  <c:v>200.97</c:v>
                </c:pt>
                <c:pt idx="347">
                  <c:v>200.55</c:v>
                </c:pt>
                <c:pt idx="348">
                  <c:v>202.88</c:v>
                </c:pt>
                <c:pt idx="349">
                  <c:v>201.51</c:v>
                </c:pt>
                <c:pt idx="350">
                  <c:v>202.48</c:v>
                </c:pt>
                <c:pt idx="351">
                  <c:v>203.44</c:v>
                </c:pt>
                <c:pt idx="352">
                  <c:v>203.04</c:v>
                </c:pt>
                <c:pt idx="353">
                  <c:v>201.12</c:v>
                </c:pt>
                <c:pt idx="354">
                  <c:v>198.87</c:v>
                </c:pt>
                <c:pt idx="355">
                  <c:v>199.3</c:v>
                </c:pt>
                <c:pt idx="356">
                  <c:v>205.63</c:v>
                </c:pt>
                <c:pt idx="357">
                  <c:v>208.02</c:v>
                </c:pt>
                <c:pt idx="358">
                  <c:v>206.67</c:v>
                </c:pt>
                <c:pt idx="359">
                  <c:v>207.01</c:v>
                </c:pt>
                <c:pt idx="360">
                  <c:v>211.16</c:v>
                </c:pt>
                <c:pt idx="361">
                  <c:v>212.43</c:v>
                </c:pt>
                <c:pt idx="362">
                  <c:v>210.87</c:v>
                </c:pt>
                <c:pt idx="363">
                  <c:v>230.14</c:v>
                </c:pt>
                <c:pt idx="364">
                  <c:v>231.78</c:v>
                </c:pt>
                <c:pt idx="365">
                  <c:v>234.47</c:v>
                </c:pt>
                <c:pt idx="366">
                  <c:v>233.72</c:v>
                </c:pt>
                <c:pt idx="367">
                  <c:v>239.3</c:v>
                </c:pt>
                <c:pt idx="368">
                  <c:v>238.85</c:v>
                </c:pt>
                <c:pt idx="369">
                  <c:v>240.04</c:v>
                </c:pt>
                <c:pt idx="370">
                  <c:v>240.47</c:v>
                </c:pt>
                <c:pt idx="371">
                  <c:v>251.27</c:v>
                </c:pt>
                <c:pt idx="372">
                  <c:v>250.82</c:v>
                </c:pt>
                <c:pt idx="373">
                  <c:v>249.19</c:v>
                </c:pt>
                <c:pt idx="374">
                  <c:v>251.69</c:v>
                </c:pt>
                <c:pt idx="375">
                  <c:v>254.37</c:v>
                </c:pt>
                <c:pt idx="376">
                  <c:v>252.19</c:v>
                </c:pt>
                <c:pt idx="377">
                  <c:v>251.32</c:v>
                </c:pt>
                <c:pt idx="378">
                  <c:v>246.8</c:v>
                </c:pt>
                <c:pt idx="379">
                  <c:v>245.46</c:v>
                </c:pt>
                <c:pt idx="380">
                  <c:v>246.21</c:v>
                </c:pt>
                <c:pt idx="381">
                  <c:v>243.72</c:v>
                </c:pt>
                <c:pt idx="382">
                  <c:v>242.77</c:v>
                </c:pt>
                <c:pt idx="383">
                  <c:v>244.57</c:v>
                </c:pt>
                <c:pt idx="384">
                  <c:v>245.36</c:v>
                </c:pt>
                <c:pt idx="385">
                  <c:v>245.02</c:v>
                </c:pt>
                <c:pt idx="386">
                  <c:v>250.09</c:v>
                </c:pt>
                <c:pt idx="387">
                  <c:v>245.43</c:v>
                </c:pt>
                <c:pt idx="388">
                  <c:v>244.29</c:v>
                </c:pt>
                <c:pt idx="389">
                  <c:v>241.2</c:v>
                </c:pt>
                <c:pt idx="390">
                  <c:v>236.25</c:v>
                </c:pt>
                <c:pt idx="391">
                  <c:v>243.82</c:v>
                </c:pt>
                <c:pt idx="392">
                  <c:v>245.12</c:v>
                </c:pt>
                <c:pt idx="393">
                  <c:v>250.69</c:v>
                </c:pt>
                <c:pt idx="394">
                  <c:v>251.12</c:v>
                </c:pt>
                <c:pt idx="395">
                  <c:v>252.96</c:v>
                </c:pt>
                <c:pt idx="396">
                  <c:v>256.2</c:v>
                </c:pt>
                <c:pt idx="397">
                  <c:v>250.12</c:v>
                </c:pt>
                <c:pt idx="398">
                  <c:v>251.35</c:v>
                </c:pt>
                <c:pt idx="399">
                  <c:v>252.74</c:v>
                </c:pt>
                <c:pt idx="400">
                  <c:v>259.57</c:v>
                </c:pt>
                <c:pt idx="401">
                  <c:v>268.89999999999998</c:v>
                </c:pt>
                <c:pt idx="402">
                  <c:v>267.11</c:v>
                </c:pt>
                <c:pt idx="403">
                  <c:v>274.2</c:v>
                </c:pt>
                <c:pt idx="404">
                  <c:v>281.10000000000002</c:v>
                </c:pt>
                <c:pt idx="405">
                  <c:v>280.81</c:v>
                </c:pt>
                <c:pt idx="406">
                  <c:v>283.33999999999997</c:v>
                </c:pt>
                <c:pt idx="407">
                  <c:v>277.16000000000003</c:v>
                </c:pt>
                <c:pt idx="408">
                  <c:v>283.92</c:v>
                </c:pt>
                <c:pt idx="409">
                  <c:v>284.36</c:v>
                </c:pt>
                <c:pt idx="410">
                  <c:v>278.45</c:v>
                </c:pt>
                <c:pt idx="411">
                  <c:v>289.70999999999998</c:v>
                </c:pt>
                <c:pt idx="412">
                  <c:v>290.91000000000003</c:v>
                </c:pt>
                <c:pt idx="413">
                  <c:v>286.32</c:v>
                </c:pt>
                <c:pt idx="414">
                  <c:v>278.19</c:v>
                </c:pt>
                <c:pt idx="415">
                  <c:v>276.04000000000002</c:v>
                </c:pt>
                <c:pt idx="416">
                  <c:v>284.63</c:v>
                </c:pt>
                <c:pt idx="417">
                  <c:v>283.89</c:v>
                </c:pt>
                <c:pt idx="418">
                  <c:v>292.41000000000003</c:v>
                </c:pt>
                <c:pt idx="419">
                  <c:v>289.06</c:v>
                </c:pt>
                <c:pt idx="420">
                  <c:v>299.25</c:v>
                </c:pt>
                <c:pt idx="421">
                  <c:v>318.14999999999998</c:v>
                </c:pt>
                <c:pt idx="422">
                  <c:v>323</c:v>
                </c:pt>
                <c:pt idx="423">
                  <c:v>319.52</c:v>
                </c:pt>
                <c:pt idx="424">
                  <c:v>319.75</c:v>
                </c:pt>
                <c:pt idx="425">
                  <c:v>314.45999999999998</c:v>
                </c:pt>
                <c:pt idx="426">
                  <c:v>315.38</c:v>
                </c:pt>
                <c:pt idx="427">
                  <c:v>319.2</c:v>
                </c:pt>
                <c:pt idx="428">
                  <c:v>317.19</c:v>
                </c:pt>
                <c:pt idx="429">
                  <c:v>320.83</c:v>
                </c:pt>
                <c:pt idx="430">
                  <c:v>313.5</c:v>
                </c:pt>
                <c:pt idx="431">
                  <c:v>316.86</c:v>
                </c:pt>
                <c:pt idx="432">
                  <c:v>319.98</c:v>
                </c:pt>
                <c:pt idx="433">
                  <c:v>312.20999999999998</c:v>
                </c:pt>
                <c:pt idx="434">
                  <c:v>309.07</c:v>
                </c:pt>
                <c:pt idx="435">
                  <c:v>308</c:v>
                </c:pt>
                <c:pt idx="436">
                  <c:v>306.35000000000002</c:v>
                </c:pt>
                <c:pt idx="437">
                  <c:v>296.51</c:v>
                </c:pt>
                <c:pt idx="438">
                  <c:v>302.25</c:v>
                </c:pt>
                <c:pt idx="439">
                  <c:v>306.94</c:v>
                </c:pt>
                <c:pt idx="440">
                  <c:v>309.56</c:v>
                </c:pt>
                <c:pt idx="441">
                  <c:v>314.13</c:v>
                </c:pt>
                <c:pt idx="442">
                  <c:v>313.87</c:v>
                </c:pt>
                <c:pt idx="443">
                  <c:v>313.29000000000002</c:v>
                </c:pt>
                <c:pt idx="444">
                  <c:v>313.33999999999997</c:v>
                </c:pt>
                <c:pt idx="445">
                  <c:v>313.63</c:v>
                </c:pt>
                <c:pt idx="446">
                  <c:v>312.77999999999997</c:v>
                </c:pt>
                <c:pt idx="447">
                  <c:v>314.93</c:v>
                </c:pt>
                <c:pt idx="448">
                  <c:v>316.32</c:v>
                </c:pt>
                <c:pt idx="449">
                  <c:v>314.12</c:v>
                </c:pt>
                <c:pt idx="450">
                  <c:v>321.75</c:v>
                </c:pt>
                <c:pt idx="451">
                  <c:v>325.20999999999998</c:v>
                </c:pt>
                <c:pt idx="452">
                  <c:v>328.34</c:v>
                </c:pt>
                <c:pt idx="453">
                  <c:v>331.63</c:v>
                </c:pt>
                <c:pt idx="454">
                  <c:v>335.73</c:v>
                </c:pt>
                <c:pt idx="455">
                  <c:v>335.6</c:v>
                </c:pt>
                <c:pt idx="456">
                  <c:v>332.55</c:v>
                </c:pt>
                <c:pt idx="457">
                  <c:v>329.77</c:v>
                </c:pt>
                <c:pt idx="458">
                  <c:v>321.77</c:v>
                </c:pt>
                <c:pt idx="459">
                  <c:v>328.15</c:v>
                </c:pt>
                <c:pt idx="460">
                  <c:v>330.31</c:v>
                </c:pt>
                <c:pt idx="461">
                  <c:v>327.7</c:v>
                </c:pt>
                <c:pt idx="462">
                  <c:v>333.03</c:v>
                </c:pt>
                <c:pt idx="463">
                  <c:v>334.31</c:v>
                </c:pt>
                <c:pt idx="464">
                  <c:v>335.77</c:v>
                </c:pt>
                <c:pt idx="465">
                  <c:v>338.01</c:v>
                </c:pt>
                <c:pt idx="466">
                  <c:v>337.76</c:v>
                </c:pt>
                <c:pt idx="467">
                  <c:v>343.45</c:v>
                </c:pt>
                <c:pt idx="468">
                  <c:v>339.47</c:v>
                </c:pt>
                <c:pt idx="469">
                  <c:v>332.81</c:v>
                </c:pt>
                <c:pt idx="470">
                  <c:v>331.02</c:v>
                </c:pt>
                <c:pt idx="471">
                  <c:v>322.63</c:v>
                </c:pt>
                <c:pt idx="472">
                  <c:v>324.08999999999997</c:v>
                </c:pt>
                <c:pt idx="473">
                  <c:v>318.36</c:v>
                </c:pt>
                <c:pt idx="474">
                  <c:v>310.74</c:v>
                </c:pt>
                <c:pt idx="475">
                  <c:v>308.77999999999997</c:v>
                </c:pt>
                <c:pt idx="476">
                  <c:v>305.5</c:v>
                </c:pt>
                <c:pt idx="477">
                  <c:v>301.81</c:v>
                </c:pt>
                <c:pt idx="478">
                  <c:v>303.12</c:v>
                </c:pt>
                <c:pt idx="479">
                  <c:v>302.64</c:v>
                </c:pt>
                <c:pt idx="480">
                  <c:v>314.76</c:v>
                </c:pt>
                <c:pt idx="481">
                  <c:v>311.27</c:v>
                </c:pt>
                <c:pt idx="482">
                  <c:v>310.68</c:v>
                </c:pt>
                <c:pt idx="483">
                  <c:v>312.68</c:v>
                </c:pt>
                <c:pt idx="484">
                  <c:v>307.16000000000003</c:v>
                </c:pt>
                <c:pt idx="485">
                  <c:v>311.54000000000002</c:v>
                </c:pt>
                <c:pt idx="486">
                  <c:v>306.3</c:v>
                </c:pt>
                <c:pt idx="487">
                  <c:v>303.37</c:v>
                </c:pt>
                <c:pt idx="488">
                  <c:v>302.92</c:v>
                </c:pt>
                <c:pt idx="489">
                  <c:v>300.67</c:v>
                </c:pt>
                <c:pt idx="490">
                  <c:v>298.31</c:v>
                </c:pt>
                <c:pt idx="491">
                  <c:v>306.36</c:v>
                </c:pt>
                <c:pt idx="492">
                  <c:v>307.04000000000002</c:v>
                </c:pt>
                <c:pt idx="493">
                  <c:v>308.7</c:v>
                </c:pt>
                <c:pt idx="494">
                  <c:v>303.55</c:v>
                </c:pt>
                <c:pt idx="495">
                  <c:v>302.27999999999997</c:v>
                </c:pt>
                <c:pt idx="496">
                  <c:v>305.56</c:v>
                </c:pt>
                <c:pt idx="497">
                  <c:v>310.92</c:v>
                </c:pt>
                <c:pt idx="498">
                  <c:v>307.69</c:v>
                </c:pt>
                <c:pt idx="499">
                  <c:v>307.13</c:v>
                </c:pt>
                <c:pt idx="500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6B-409F-A74E-A8E6D381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879944"/>
        <c:axId val="2107881992"/>
      </c:lineChart>
      <c:catAx>
        <c:axId val="2107879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81992"/>
        <c:crosses val="autoZero"/>
        <c:auto val="1"/>
        <c:lblAlgn val="ctr"/>
        <c:lblOffset val="100"/>
        <c:noMultiLvlLbl val="0"/>
      </c:catAx>
      <c:valAx>
        <c:axId val="210788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7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Return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Comparison!$A$4</c:f>
              <c:strCache>
                <c:ptCount val="1"/>
                <c:pt idx="0">
                  <c:v>Total Return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Comparison!$B$4:$D$4</c:f>
              <c:numCache>
                <c:formatCode>0.00%</c:formatCode>
                <c:ptCount val="3"/>
                <c:pt idx="0">
                  <c:v>0.46031091744199754</c:v>
                </c:pt>
                <c:pt idx="1">
                  <c:v>-9.6977866061293966E-2</c:v>
                </c:pt>
                <c:pt idx="2">
                  <c:v>1.0561513764601409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4-403E-ABBE-BD2EEDEA8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229384"/>
        <c:axId val="616323592"/>
      </c:barChart>
      <c:catAx>
        <c:axId val="608229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23592"/>
        <c:crosses val="autoZero"/>
        <c:auto val="1"/>
        <c:lblAlgn val="ctr"/>
        <c:lblOffset val="100"/>
        <c:noMultiLvlLbl val="0"/>
      </c:catAx>
      <c:valAx>
        <c:axId val="61632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22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Sharpe Ratio Comparion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Comparison!$A$11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Comparison!$B$11:$D$11</c:f>
              <c:numCache>
                <c:formatCode>0.00</c:formatCode>
                <c:ptCount val="3"/>
                <c:pt idx="0">
                  <c:v>0.63705374849699681</c:v>
                </c:pt>
                <c:pt idx="1">
                  <c:v>-0.26845225679921714</c:v>
                </c:pt>
                <c:pt idx="2">
                  <c:v>1.2045713190305147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0-40DF-9AFF-25071A2F8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179656"/>
        <c:axId val="921181704"/>
      </c:barChart>
      <c:catAx>
        <c:axId val="921179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81704"/>
        <c:crosses val="autoZero"/>
        <c:auto val="1"/>
        <c:lblAlgn val="ctr"/>
        <c:lblOffset val="100"/>
        <c:noMultiLvlLbl val="0"/>
      </c:catAx>
      <c:valAx>
        <c:axId val="92118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7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Volatility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Comparison!$A$10</c:f>
              <c:strCache>
                <c:ptCount val="1"/>
                <c:pt idx="0">
                  <c:v>Annual Volatility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Comparison!$B$10:$D$10</c:f>
              <c:numCache>
                <c:formatCode>0.00%</c:formatCode>
                <c:ptCount val="3"/>
                <c:pt idx="0">
                  <c:v>0.2835593472550767</c:v>
                </c:pt>
                <c:pt idx="1">
                  <c:v>0.23910907896260844</c:v>
                </c:pt>
                <c:pt idx="2">
                  <c:v>0.29649127689432536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8-44A5-9D26-790611DD2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193032"/>
        <c:axId val="1152195592"/>
      </c:barChart>
      <c:catAx>
        <c:axId val="1152193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195592"/>
        <c:crosses val="autoZero"/>
        <c:auto val="1"/>
        <c:lblAlgn val="ctr"/>
        <c:lblOffset val="100"/>
        <c:noMultiLvlLbl val="0"/>
      </c:catAx>
      <c:valAx>
        <c:axId val="115219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19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1085850</xdr:colOff>
      <xdr:row>0</xdr:row>
      <xdr:rowOff>161925</xdr:rowOff>
    </xdr:from>
    <xdr:to>
      <xdr:col>16</xdr:col>
      <xdr:colOff>561975</xdr:colOff>
      <xdr:row>24</xdr:row>
      <xdr:rowOff>57150</xdr:rowOff>
    </xdr:to>
    <xdr:graphicFrame macro="">
      <xdr:nvGraphicFramePr>
        <xdr:cNvPr id="3" name="Çizelge 2">
          <a:extLst>
            <a:ext uri="{FF2B5EF4-FFF2-40B4-BE49-F238E27FC236}">
              <a16:creationId xmlns:a16="http://schemas.microsoft.com/office/drawing/2014/main" id="{6C3D9CB0-D109-6518-DA6F-E5C1C3FF6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0</xdr:row>
      <xdr:rowOff>76200</xdr:rowOff>
    </xdr:from>
    <xdr:to>
      <xdr:col>9</xdr:col>
      <xdr:colOff>504825</xdr:colOff>
      <xdr:row>9</xdr:row>
      <xdr:rowOff>114300</xdr:rowOff>
    </xdr:to>
    <xdr:graphicFrame macro="">
      <xdr:nvGraphicFramePr>
        <xdr:cNvPr id="2" name="Çizelge 1">
          <a:extLst>
            <a:ext uri="{FF2B5EF4-FFF2-40B4-BE49-F238E27FC236}">
              <a16:creationId xmlns:a16="http://schemas.microsoft.com/office/drawing/2014/main" id="{E8BF439D-D40C-A2BA-0804-7C1D46871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0</xdr:row>
      <xdr:rowOff>57150</xdr:rowOff>
    </xdr:from>
    <xdr:to>
      <xdr:col>14</xdr:col>
      <xdr:colOff>104775</xdr:colOff>
      <xdr:row>9</xdr:row>
      <xdr:rowOff>142875</xdr:rowOff>
    </xdr:to>
    <xdr:graphicFrame macro="">
      <xdr:nvGraphicFramePr>
        <xdr:cNvPr id="7" name="Çizelge 6">
          <a:extLst>
            <a:ext uri="{FF2B5EF4-FFF2-40B4-BE49-F238E27FC236}">
              <a16:creationId xmlns:a16="http://schemas.microsoft.com/office/drawing/2014/main" id="{E0C69FB4-7FE2-249B-2CEE-63B20BC16A42}"/>
            </a:ext>
            <a:ext uri="{147F2762-F138-4A5C-976F-8EAC2B608ADB}">
              <a16:predDERef xmlns:a16="http://schemas.microsoft.com/office/drawing/2014/main" pred="{E8BF439D-D40C-A2BA-0804-7C1D46871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533400</xdr:colOff>
      <xdr:row>9</xdr:row>
      <xdr:rowOff>142875</xdr:rowOff>
    </xdr:from>
    <xdr:to>
      <xdr:col>14</xdr:col>
      <xdr:colOff>104775</xdr:colOff>
      <xdr:row>24</xdr:row>
      <xdr:rowOff>28575</xdr:rowOff>
    </xdr:to>
    <xdr:graphicFrame macro="">
      <xdr:nvGraphicFramePr>
        <xdr:cNvPr id="9" name="Çizelge 8">
          <a:extLst>
            <a:ext uri="{FF2B5EF4-FFF2-40B4-BE49-F238E27FC236}">
              <a16:creationId xmlns:a16="http://schemas.microsoft.com/office/drawing/2014/main" id="{7D61B451-D9A6-0230-B6A1-69B4722F6414}"/>
            </a:ext>
            <a:ext uri="{147F2762-F138-4A5C-976F-8EAC2B608ADB}">
              <a16:predDERef xmlns:a16="http://schemas.microsoft.com/office/drawing/2014/main" pred="{E39EE68F-44F1-C0D0-A7B7-1159C9EB4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"/>
  <sheetViews>
    <sheetView workbookViewId="0">
      <selection activeCell="E504" sqref="E504"/>
    </sheetView>
  </sheetViews>
  <sheetFormatPr defaultRowHeight="15"/>
  <cols>
    <col min="1" max="1" width="10.85546875" bestFit="1" customWidth="1"/>
    <col min="2" max="2" width="9.5703125" customWidth="1"/>
    <col min="5" max="5" width="15.7109375" style="4" customWidth="1"/>
    <col min="6" max="6" width="14.42578125" style="4" customWidth="1"/>
    <col min="7" max="7" width="16.42578125" style="4" customWidth="1"/>
    <col min="10" max="10" width="9.140625" style="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</row>
    <row r="2" spans="1:7">
      <c r="A2" s="2">
        <v>45372</v>
      </c>
      <c r="B2" s="3">
        <v>169.82</v>
      </c>
      <c r="C2" s="3">
        <v>422.88</v>
      </c>
      <c r="D2" s="3">
        <v>146.38999999999999</v>
      </c>
    </row>
    <row r="3" spans="1:7">
      <c r="A3" s="2">
        <v>45373</v>
      </c>
      <c r="B3" s="3">
        <v>170.73</v>
      </c>
      <c r="C3" s="3">
        <v>422.26</v>
      </c>
      <c r="D3" s="3">
        <v>149.53</v>
      </c>
      <c r="E3" s="4">
        <f>(B3-B2)/B2</f>
        <v>5.3586150041219915E-3</v>
      </c>
      <c r="F3" s="4">
        <f>(C3-C2)/C2</f>
        <v>-1.4661369655694396E-3</v>
      </c>
      <c r="G3" s="4">
        <f>(D3-D2)/D2</f>
        <v>2.1449552565066022E-2</v>
      </c>
    </row>
    <row r="4" spans="1:7">
      <c r="A4" s="2">
        <v>45376</v>
      </c>
      <c r="B4" s="3">
        <v>169.31</v>
      </c>
      <c r="C4" s="3">
        <v>416.47</v>
      </c>
      <c r="D4" s="3">
        <v>148.84</v>
      </c>
      <c r="E4" s="4">
        <f t="shared" ref="E4:E67" si="0">(B4-B3)/B3</f>
        <v>-8.3172260294030777E-3</v>
      </c>
      <c r="F4" s="4">
        <f>(C3-C2)/C2</f>
        <v>-1.4661369655694396E-3</v>
      </c>
      <c r="G4" s="4">
        <f t="shared" ref="G4:G67" si="1">(D4-D3)/D3</f>
        <v>-4.6144586370627811E-3</v>
      </c>
    </row>
    <row r="5" spans="1:7">
      <c r="A5" s="2">
        <v>45377</v>
      </c>
      <c r="B5" s="3">
        <v>168.18</v>
      </c>
      <c r="C5" s="3">
        <v>415.28</v>
      </c>
      <c r="D5" s="3">
        <v>149.43</v>
      </c>
      <c r="E5" s="4">
        <f t="shared" si="0"/>
        <v>-6.6741480125213836E-3</v>
      </c>
      <c r="F5" s="4">
        <f t="shared" ref="F5:F68" si="2">(C4-C3)/C3</f>
        <v>-1.3711931037749168E-2</v>
      </c>
      <c r="G5" s="4">
        <f t="shared" si="1"/>
        <v>3.9639881752217372E-3</v>
      </c>
    </row>
    <row r="6" spans="1:7">
      <c r="A6" s="2">
        <v>45378</v>
      </c>
      <c r="B6" s="3">
        <v>171.75</v>
      </c>
      <c r="C6" s="3">
        <v>415.06</v>
      </c>
      <c r="D6" s="3">
        <v>149.63</v>
      </c>
      <c r="E6" s="4">
        <f t="shared" si="0"/>
        <v>2.1227256510881157E-2</v>
      </c>
      <c r="F6" s="4">
        <f t="shared" si="2"/>
        <v>-2.8573486685716967E-3</v>
      </c>
      <c r="G6" s="4">
        <f t="shared" si="1"/>
        <v>1.3384193267750024E-3</v>
      </c>
    </row>
    <row r="7" spans="1:7">
      <c r="A7" s="2">
        <v>45379</v>
      </c>
      <c r="B7" s="3">
        <v>169.93</v>
      </c>
      <c r="C7" s="3">
        <v>414.36</v>
      </c>
      <c r="D7" s="3">
        <v>149.69</v>
      </c>
      <c r="E7" s="4">
        <f t="shared" si="0"/>
        <v>-1.0596797671033439E-2</v>
      </c>
      <c r="F7" s="4">
        <f t="shared" si="2"/>
        <v>-5.2976305143510513E-4</v>
      </c>
      <c r="G7" s="4">
        <f t="shared" si="1"/>
        <v>4.0098910646262298E-4</v>
      </c>
    </row>
    <row r="8" spans="1:7">
      <c r="A8" s="2">
        <v>45383</v>
      </c>
      <c r="B8" s="3">
        <v>168.5</v>
      </c>
      <c r="C8" s="3">
        <v>418.15</v>
      </c>
      <c r="D8" s="3">
        <v>154.22</v>
      </c>
      <c r="E8" s="4">
        <f t="shared" si="0"/>
        <v>-8.4152298005061299E-3</v>
      </c>
      <c r="F8" s="4">
        <f t="shared" si="2"/>
        <v>-1.6865031561701649E-3</v>
      </c>
      <c r="G8" s="4">
        <f t="shared" si="1"/>
        <v>3.0262542588015241E-2</v>
      </c>
    </row>
    <row r="9" spans="1:7">
      <c r="A9" s="2">
        <v>45384</v>
      </c>
      <c r="B9" s="3">
        <v>167.32</v>
      </c>
      <c r="C9" s="3">
        <v>415.07</v>
      </c>
      <c r="D9" s="3">
        <v>153.29</v>
      </c>
      <c r="E9" s="4">
        <f t="shared" si="0"/>
        <v>-7.0029673590504852E-3</v>
      </c>
      <c r="F9" s="4">
        <f t="shared" si="2"/>
        <v>9.1466357756539319E-3</v>
      </c>
      <c r="G9" s="4">
        <f t="shared" si="1"/>
        <v>-6.030346258591667E-3</v>
      </c>
    </row>
    <row r="10" spans="1:7">
      <c r="A10" s="2">
        <v>45385</v>
      </c>
      <c r="B10" s="3">
        <v>168.12</v>
      </c>
      <c r="C10" s="3">
        <v>414.09</v>
      </c>
      <c r="D10" s="3">
        <v>153.65</v>
      </c>
      <c r="E10" s="4">
        <f t="shared" si="0"/>
        <v>4.7812574707148661E-3</v>
      </c>
      <c r="F10" s="4">
        <f t="shared" si="2"/>
        <v>-7.3657778309218803E-3</v>
      </c>
      <c r="G10" s="4">
        <f t="shared" si="1"/>
        <v>2.3484897905930828E-3</v>
      </c>
    </row>
    <row r="11" spans="1:7">
      <c r="A11" s="2">
        <v>45386</v>
      </c>
      <c r="B11" s="3">
        <v>167.3</v>
      </c>
      <c r="C11" s="3">
        <v>411.56</v>
      </c>
      <c r="D11" s="3">
        <v>149.30000000000001</v>
      </c>
      <c r="E11" s="4">
        <f t="shared" si="0"/>
        <v>-4.877468474898841E-3</v>
      </c>
      <c r="F11" s="4">
        <f t="shared" si="2"/>
        <v>-2.3610475341509099E-3</v>
      </c>
      <c r="G11" s="4">
        <f t="shared" si="1"/>
        <v>-2.8311096648226449E-2</v>
      </c>
    </row>
    <row r="12" spans="1:7">
      <c r="A12" s="2">
        <v>45387</v>
      </c>
      <c r="B12" s="3">
        <v>168.05</v>
      </c>
      <c r="C12" s="3">
        <v>419.09</v>
      </c>
      <c r="D12" s="3">
        <v>151.25</v>
      </c>
      <c r="E12" s="4">
        <f t="shared" si="0"/>
        <v>4.4829647340107592E-3</v>
      </c>
      <c r="F12" s="4">
        <f t="shared" si="2"/>
        <v>-6.1097828974376895E-3</v>
      </c>
      <c r="G12" s="4">
        <f t="shared" si="1"/>
        <v>1.3060951105157323E-2</v>
      </c>
    </row>
    <row r="13" spans="1:7">
      <c r="A13" s="2">
        <v>45390</v>
      </c>
      <c r="B13" s="3">
        <v>166.93</v>
      </c>
      <c r="C13" s="3">
        <v>418.17</v>
      </c>
      <c r="D13" s="3">
        <v>153.58000000000001</v>
      </c>
      <c r="E13" s="4">
        <f t="shared" si="0"/>
        <v>-6.6646831300208537E-3</v>
      </c>
      <c r="F13" s="4">
        <f t="shared" si="2"/>
        <v>1.8296238701525833E-2</v>
      </c>
      <c r="G13" s="4">
        <f t="shared" si="1"/>
        <v>1.5404958677686034E-2</v>
      </c>
    </row>
    <row r="14" spans="1:7">
      <c r="A14" s="2">
        <v>45391</v>
      </c>
      <c r="B14" s="3">
        <v>168.14</v>
      </c>
      <c r="C14" s="3">
        <v>419.84</v>
      </c>
      <c r="D14" s="3">
        <v>155.32</v>
      </c>
      <c r="E14" s="4">
        <f t="shared" si="0"/>
        <v>7.248547295273345E-3</v>
      </c>
      <c r="F14" s="4">
        <f t="shared" si="2"/>
        <v>-2.1952325276192682E-3</v>
      </c>
      <c r="G14" s="4">
        <f t="shared" si="1"/>
        <v>1.1329600208360336E-2</v>
      </c>
    </row>
    <row r="15" spans="1:7">
      <c r="A15" s="2">
        <v>45392</v>
      </c>
      <c r="B15" s="3">
        <v>166.27</v>
      </c>
      <c r="C15" s="3">
        <v>416.86</v>
      </c>
      <c r="D15" s="3">
        <v>154.86000000000001</v>
      </c>
      <c r="E15" s="4">
        <f t="shared" si="0"/>
        <v>-1.1121684310693328E-2</v>
      </c>
      <c r="F15" s="4">
        <f t="shared" si="2"/>
        <v>3.9935911232272976E-3</v>
      </c>
      <c r="G15" s="4">
        <f t="shared" si="1"/>
        <v>-2.9616276075198271E-3</v>
      </c>
    </row>
    <row r="16" spans="1:7">
      <c r="A16" s="2">
        <v>45393</v>
      </c>
      <c r="B16" s="3">
        <v>173.46</v>
      </c>
      <c r="C16" s="3">
        <v>421.46</v>
      </c>
      <c r="D16" s="3">
        <v>158.1</v>
      </c>
      <c r="E16" s="4">
        <f t="shared" si="0"/>
        <v>4.3242918145185529E-2</v>
      </c>
      <c r="F16" s="4">
        <f t="shared" si="2"/>
        <v>-7.09794207317064E-3</v>
      </c>
      <c r="G16" s="4">
        <f t="shared" si="1"/>
        <v>2.0922123208058765E-2</v>
      </c>
    </row>
    <row r="17" spans="1:7">
      <c r="A17" s="2">
        <v>45394</v>
      </c>
      <c r="B17" s="3">
        <v>174.96</v>
      </c>
      <c r="C17" s="3">
        <v>415.52</v>
      </c>
      <c r="D17" s="3">
        <v>156.44</v>
      </c>
      <c r="E17" s="4">
        <f t="shared" si="0"/>
        <v>8.6475268073331023E-3</v>
      </c>
      <c r="F17" s="4">
        <f t="shared" si="2"/>
        <v>1.1034879815765402E-2</v>
      </c>
      <c r="G17" s="4">
        <f t="shared" si="1"/>
        <v>-1.0499683744465508E-2</v>
      </c>
    </row>
    <row r="18" spans="1:7">
      <c r="A18" s="2">
        <v>45397</v>
      </c>
      <c r="B18" s="3">
        <v>171.13</v>
      </c>
      <c r="C18" s="3">
        <v>407.39</v>
      </c>
      <c r="D18" s="3">
        <v>153.59</v>
      </c>
      <c r="E18" s="4">
        <f t="shared" si="0"/>
        <v>-2.1890717878372271E-2</v>
      </c>
      <c r="F18" s="4">
        <f t="shared" si="2"/>
        <v>-1.4093864186399654E-2</v>
      </c>
      <c r="G18" s="4">
        <f t="shared" si="1"/>
        <v>-1.8217847097928883E-2</v>
      </c>
    </row>
    <row r="19" spans="1:7">
      <c r="A19" s="2">
        <v>45398</v>
      </c>
      <c r="B19" s="3">
        <v>167.85</v>
      </c>
      <c r="C19" s="3">
        <v>408.31</v>
      </c>
      <c r="D19" s="3">
        <v>153.13</v>
      </c>
      <c r="E19" s="4">
        <f t="shared" si="0"/>
        <v>-1.9166715362589851E-2</v>
      </c>
      <c r="F19" s="4">
        <f t="shared" si="2"/>
        <v>-1.9565845206006922E-2</v>
      </c>
      <c r="G19" s="4">
        <f t="shared" si="1"/>
        <v>-2.9949866527769252E-3</v>
      </c>
    </row>
    <row r="20" spans="1:7">
      <c r="A20" s="2">
        <v>45399</v>
      </c>
      <c r="B20" s="3">
        <v>166.48</v>
      </c>
      <c r="C20" s="3">
        <v>405.61</v>
      </c>
      <c r="D20" s="3">
        <v>154.19999999999999</v>
      </c>
      <c r="E20" s="4">
        <f t="shared" si="0"/>
        <v>-8.1620494489127466E-3</v>
      </c>
      <c r="F20" s="4">
        <f t="shared" si="2"/>
        <v>2.2582783082550281E-3</v>
      </c>
      <c r="G20" s="4">
        <f t="shared" si="1"/>
        <v>6.9875269378958608E-3</v>
      </c>
    </row>
    <row r="21" spans="1:7">
      <c r="A21" s="2">
        <v>45400</v>
      </c>
      <c r="B21" s="3">
        <v>165.53</v>
      </c>
      <c r="C21" s="3">
        <v>398.16</v>
      </c>
      <c r="D21" s="3">
        <v>154.72999999999999</v>
      </c>
      <c r="E21" s="4">
        <f t="shared" si="0"/>
        <v>-5.7063911580970007E-3</v>
      </c>
      <c r="F21" s="4">
        <f t="shared" si="2"/>
        <v>-6.6126227621169913E-3</v>
      </c>
      <c r="G21" s="4">
        <f t="shared" si="1"/>
        <v>3.4370946822308767E-3</v>
      </c>
    </row>
    <row r="22" spans="1:7">
      <c r="A22" s="2">
        <v>45401</v>
      </c>
      <c r="B22" s="3">
        <v>163.51</v>
      </c>
      <c r="C22" s="3">
        <v>393.09</v>
      </c>
      <c r="D22" s="3">
        <v>152.83000000000001</v>
      </c>
      <c r="E22" s="4">
        <f t="shared" si="0"/>
        <v>-1.2203226001329125E-2</v>
      </c>
      <c r="F22" s="4">
        <f t="shared" si="2"/>
        <v>-1.8367397253519362E-2</v>
      </c>
      <c r="G22" s="4">
        <f t="shared" si="1"/>
        <v>-1.2279454533703726E-2</v>
      </c>
    </row>
    <row r="23" spans="1:7">
      <c r="A23" s="2">
        <v>45404</v>
      </c>
      <c r="B23" s="3">
        <v>164.34</v>
      </c>
      <c r="C23" s="3">
        <v>394.9</v>
      </c>
      <c r="D23" s="3">
        <v>155</v>
      </c>
      <c r="E23" s="4">
        <f t="shared" si="0"/>
        <v>5.0761421319797722E-3</v>
      </c>
      <c r="F23" s="4">
        <f t="shared" si="2"/>
        <v>-1.2733574442435327E-2</v>
      </c>
      <c r="G23" s="4">
        <f t="shared" si="1"/>
        <v>1.4198782961460363E-2</v>
      </c>
    </row>
    <row r="24" spans="1:7">
      <c r="A24" s="2">
        <v>45405</v>
      </c>
      <c r="B24" s="3">
        <v>165.39</v>
      </c>
      <c r="C24" s="3">
        <v>401.41</v>
      </c>
      <c r="D24" s="3">
        <v>156.96</v>
      </c>
      <c r="E24" s="4">
        <f t="shared" si="0"/>
        <v>6.3891931361809845E-3</v>
      </c>
      <c r="F24" s="4">
        <f t="shared" si="2"/>
        <v>4.6045434887684814E-3</v>
      </c>
      <c r="G24" s="4">
        <f t="shared" si="1"/>
        <v>1.2645161290322633E-2</v>
      </c>
    </row>
    <row r="25" spans="1:7">
      <c r="A25" s="2">
        <v>45406</v>
      </c>
      <c r="B25" s="3">
        <v>167.5</v>
      </c>
      <c r="C25" s="3">
        <v>402.88</v>
      </c>
      <c r="D25" s="3">
        <v>157.83000000000001</v>
      </c>
      <c r="E25" s="4">
        <f t="shared" si="0"/>
        <v>1.2757724167120224E-2</v>
      </c>
      <c r="F25" s="4">
        <f t="shared" si="2"/>
        <v>1.6485186123069252E-2</v>
      </c>
      <c r="G25" s="4">
        <f t="shared" si="1"/>
        <v>5.542813455657521E-3</v>
      </c>
    </row>
    <row r="26" spans="1:7">
      <c r="A26" s="2">
        <v>45407</v>
      </c>
      <c r="B26" s="3">
        <v>168.36</v>
      </c>
      <c r="C26" s="3">
        <v>393.01</v>
      </c>
      <c r="D26" s="3">
        <v>154.72</v>
      </c>
      <c r="E26" s="4">
        <f t="shared" si="0"/>
        <v>5.1343283582090367E-3</v>
      </c>
      <c r="F26" s="4">
        <f t="shared" si="2"/>
        <v>3.6620911287710079E-3</v>
      </c>
      <c r="G26" s="4">
        <f t="shared" si="1"/>
        <v>-1.9704745612367822E-2</v>
      </c>
    </row>
    <row r="27" spans="1:7">
      <c r="A27" s="2">
        <v>45408</v>
      </c>
      <c r="B27" s="3">
        <v>167.77</v>
      </c>
      <c r="C27" s="3">
        <v>400.18</v>
      </c>
      <c r="D27" s="3">
        <v>170.54</v>
      </c>
      <c r="E27" s="4">
        <f t="shared" si="0"/>
        <v>-3.5043953433119704E-3</v>
      </c>
      <c r="F27" s="4">
        <f t="shared" si="2"/>
        <v>-2.4498610007942824E-2</v>
      </c>
      <c r="G27" s="4">
        <f t="shared" si="1"/>
        <v>0.10224922440537741</v>
      </c>
    </row>
    <row r="28" spans="1:7">
      <c r="A28" s="2">
        <v>45411</v>
      </c>
      <c r="B28" s="3">
        <v>171.94</v>
      </c>
      <c r="C28" s="3">
        <v>396.17</v>
      </c>
      <c r="D28" s="3">
        <v>164.79</v>
      </c>
      <c r="E28" s="4">
        <f t="shared" si="0"/>
        <v>2.4855456875484218E-2</v>
      </c>
      <c r="F28" s="4">
        <f t="shared" si="2"/>
        <v>1.8243810590061364E-2</v>
      </c>
      <c r="G28" s="4">
        <f t="shared" si="1"/>
        <v>-3.371643016301161E-2</v>
      </c>
    </row>
    <row r="29" spans="1:7">
      <c r="A29" s="2">
        <v>45412</v>
      </c>
      <c r="B29" s="3">
        <v>168.79</v>
      </c>
      <c r="C29" s="3">
        <v>383.44</v>
      </c>
      <c r="D29" s="3">
        <v>161.44999999999999</v>
      </c>
      <c r="E29" s="4">
        <f t="shared" si="0"/>
        <v>-1.8320344306153341E-2</v>
      </c>
      <c r="F29" s="4">
        <f t="shared" si="2"/>
        <v>-1.002049077914936E-2</v>
      </c>
      <c r="G29" s="4">
        <f t="shared" si="1"/>
        <v>-2.0268220158990252E-2</v>
      </c>
    </row>
    <row r="30" spans="1:7">
      <c r="A30" s="2">
        <v>45413</v>
      </c>
      <c r="B30" s="3">
        <v>167.77</v>
      </c>
      <c r="C30" s="3">
        <v>388.97</v>
      </c>
      <c r="D30" s="3">
        <v>162.52000000000001</v>
      </c>
      <c r="E30" s="4">
        <f t="shared" si="0"/>
        <v>-6.0430120267787298E-3</v>
      </c>
      <c r="F30" s="4">
        <f t="shared" si="2"/>
        <v>-3.2132670318297744E-2</v>
      </c>
      <c r="G30" s="4">
        <f t="shared" si="1"/>
        <v>6.627438835552937E-3</v>
      </c>
    </row>
    <row r="31" spans="1:7">
      <c r="A31" s="2">
        <v>45414</v>
      </c>
      <c r="B31" s="3">
        <v>171.47</v>
      </c>
      <c r="C31" s="3">
        <v>391.83</v>
      </c>
      <c r="D31" s="3">
        <v>165.25</v>
      </c>
      <c r="E31" s="4">
        <f t="shared" si="0"/>
        <v>2.2054002503427241E-2</v>
      </c>
      <c r="F31" s="4">
        <f t="shared" si="2"/>
        <v>1.4422073857709236E-2</v>
      </c>
      <c r="G31" s="4">
        <f t="shared" si="1"/>
        <v>1.6797932562146133E-2</v>
      </c>
    </row>
    <row r="32" spans="1:7">
      <c r="A32" s="2">
        <v>45415</v>
      </c>
      <c r="B32" s="3">
        <v>181.73</v>
      </c>
      <c r="C32" s="3">
        <v>400.51</v>
      </c>
      <c r="D32" s="3">
        <v>165.87</v>
      </c>
      <c r="E32" s="4">
        <f t="shared" si="0"/>
        <v>5.9835539744561676E-2</v>
      </c>
      <c r="F32" s="4">
        <f t="shared" si="2"/>
        <v>7.3527521402677754E-3</v>
      </c>
      <c r="G32" s="4">
        <f t="shared" si="1"/>
        <v>3.7518910741301333E-3</v>
      </c>
    </row>
    <row r="33" spans="1:7">
      <c r="A33" s="2">
        <v>45418</v>
      </c>
      <c r="B33" s="3">
        <v>180.07</v>
      </c>
      <c r="C33" s="3">
        <v>407.29</v>
      </c>
      <c r="D33" s="3">
        <v>166.72</v>
      </c>
      <c r="E33" s="4">
        <f t="shared" si="0"/>
        <v>-9.1344301986463258E-3</v>
      </c>
      <c r="F33" s="4">
        <f t="shared" si="2"/>
        <v>2.2152464078809705E-2</v>
      </c>
      <c r="G33" s="4">
        <f t="shared" si="1"/>
        <v>5.1244950865135001E-3</v>
      </c>
    </row>
    <row r="34" spans="1:7">
      <c r="A34" s="2">
        <v>45419</v>
      </c>
      <c r="B34" s="3">
        <v>180.75</v>
      </c>
      <c r="C34" s="3">
        <v>403.15</v>
      </c>
      <c r="D34" s="3">
        <v>169.85</v>
      </c>
      <c r="E34" s="4">
        <f t="shared" si="0"/>
        <v>3.7763092130838386E-3</v>
      </c>
      <c r="F34" s="4">
        <f t="shared" si="2"/>
        <v>1.6928416269256771E-2</v>
      </c>
      <c r="G34" s="4">
        <f t="shared" si="1"/>
        <v>1.8773992322456787E-2</v>
      </c>
    </row>
    <row r="35" spans="1:7">
      <c r="A35" s="2">
        <v>45420</v>
      </c>
      <c r="B35" s="3">
        <v>181.09</v>
      </c>
      <c r="C35" s="3">
        <v>404.33</v>
      </c>
      <c r="D35" s="3">
        <v>167.99</v>
      </c>
      <c r="E35" s="4">
        <f t="shared" si="0"/>
        <v>1.8810511756570036E-3</v>
      </c>
      <c r="F35" s="4">
        <f t="shared" si="2"/>
        <v>-1.0164747477227634E-2</v>
      </c>
      <c r="G35" s="4">
        <f t="shared" si="1"/>
        <v>-1.095083897556659E-2</v>
      </c>
    </row>
    <row r="36" spans="1:7">
      <c r="A36" s="2">
        <v>45421</v>
      </c>
      <c r="B36" s="3">
        <v>182.91</v>
      </c>
      <c r="C36" s="3">
        <v>406.09</v>
      </c>
      <c r="D36" s="3">
        <v>168.57</v>
      </c>
      <c r="E36" s="4">
        <f t="shared" si="0"/>
        <v>1.0050251256281369E-2</v>
      </c>
      <c r="F36" s="4">
        <f t="shared" si="2"/>
        <v>2.9269502666501475E-3</v>
      </c>
      <c r="G36" s="4">
        <f t="shared" si="1"/>
        <v>3.4525864634798739E-3</v>
      </c>
    </row>
    <row r="37" spans="1:7">
      <c r="A37" s="2">
        <v>45422</v>
      </c>
      <c r="B37" s="3">
        <v>181.65</v>
      </c>
      <c r="C37" s="3">
        <v>408.47</v>
      </c>
      <c r="D37" s="3">
        <v>167.27</v>
      </c>
      <c r="E37" s="4">
        <f t="shared" si="0"/>
        <v>-6.8886337543053464E-3</v>
      </c>
      <c r="F37" s="4">
        <f t="shared" si="2"/>
        <v>4.352880073207506E-3</v>
      </c>
      <c r="G37" s="4">
        <f t="shared" si="1"/>
        <v>-7.7119297621165272E-3</v>
      </c>
    </row>
    <row r="38" spans="1:7">
      <c r="A38" s="2">
        <v>45425</v>
      </c>
      <c r="B38" s="3">
        <v>184.85</v>
      </c>
      <c r="C38" s="3">
        <v>407.47</v>
      </c>
      <c r="D38" s="3">
        <v>167.75</v>
      </c>
      <c r="E38" s="4">
        <f t="shared" si="0"/>
        <v>1.761629507294241E-2</v>
      </c>
      <c r="F38" s="4">
        <f t="shared" si="2"/>
        <v>5.8607697800981372E-3</v>
      </c>
      <c r="G38" s="4">
        <f t="shared" si="1"/>
        <v>2.8696120045434911E-3</v>
      </c>
    </row>
    <row r="39" spans="1:7">
      <c r="A39" s="2">
        <v>45426</v>
      </c>
      <c r="B39" s="3">
        <v>185.99</v>
      </c>
      <c r="C39" s="3">
        <v>410.26</v>
      </c>
      <c r="D39" s="3">
        <v>168.94</v>
      </c>
      <c r="E39" s="4">
        <f t="shared" si="0"/>
        <v>6.1671625642413571E-3</v>
      </c>
      <c r="F39" s="4">
        <f t="shared" si="2"/>
        <v>-2.4481602076039857E-3</v>
      </c>
      <c r="G39" s="4">
        <f t="shared" si="1"/>
        <v>7.0938897168405226E-3</v>
      </c>
    </row>
    <row r="40" spans="1:7">
      <c r="A40" s="2">
        <v>45427</v>
      </c>
      <c r="B40" s="3">
        <v>188.26</v>
      </c>
      <c r="C40" s="3">
        <v>417.44</v>
      </c>
      <c r="D40" s="3">
        <v>171.1</v>
      </c>
      <c r="E40" s="4">
        <f t="shared" si="0"/>
        <v>1.2204957255766341E-2</v>
      </c>
      <c r="F40" s="4">
        <f t="shared" si="2"/>
        <v>6.8471298500502207E-3</v>
      </c>
      <c r="G40" s="4">
        <f t="shared" si="1"/>
        <v>1.278560435657628E-2</v>
      </c>
    </row>
    <row r="41" spans="1:7">
      <c r="A41" s="2">
        <v>45428</v>
      </c>
      <c r="B41" s="3">
        <v>188.38</v>
      </c>
      <c r="C41" s="3">
        <v>415.37</v>
      </c>
      <c r="D41" s="3">
        <v>172.75</v>
      </c>
      <c r="E41" s="4">
        <f t="shared" si="0"/>
        <v>6.3741633910551659E-4</v>
      </c>
      <c r="F41" s="4">
        <f t="shared" si="2"/>
        <v>1.7501096865402445E-2</v>
      </c>
      <c r="G41" s="4">
        <f t="shared" si="1"/>
        <v>9.6434833430742595E-3</v>
      </c>
    </row>
    <row r="42" spans="1:7">
      <c r="A42" s="2">
        <v>45429</v>
      </c>
      <c r="B42" s="3">
        <v>188.41</v>
      </c>
      <c r="C42" s="3">
        <v>414.6</v>
      </c>
      <c r="D42" s="3">
        <v>174.62</v>
      </c>
      <c r="E42" s="4">
        <f t="shared" si="0"/>
        <v>1.5925257458329514E-4</v>
      </c>
      <c r="F42" s="4">
        <f t="shared" si="2"/>
        <v>-4.9587964737447133E-3</v>
      </c>
      <c r="G42" s="4">
        <f t="shared" si="1"/>
        <v>1.082489146164981E-2</v>
      </c>
    </row>
    <row r="43" spans="1:7">
      <c r="A43" s="2">
        <v>45432</v>
      </c>
      <c r="B43" s="3">
        <v>189.57</v>
      </c>
      <c r="C43" s="3">
        <v>419.67</v>
      </c>
      <c r="D43" s="3">
        <v>175.47</v>
      </c>
      <c r="E43" s="4">
        <f t="shared" si="0"/>
        <v>6.1567857332413172E-3</v>
      </c>
      <c r="F43" s="4">
        <f t="shared" si="2"/>
        <v>-1.8537689289067139E-3</v>
      </c>
      <c r="G43" s="4">
        <f t="shared" si="1"/>
        <v>4.8677127476806454E-3</v>
      </c>
    </row>
    <row r="44" spans="1:7">
      <c r="A44" s="2">
        <v>45433</v>
      </c>
      <c r="B44" s="3">
        <v>190.87</v>
      </c>
      <c r="C44" s="3">
        <v>423.32</v>
      </c>
      <c r="D44" s="3">
        <v>176.39</v>
      </c>
      <c r="E44" s="4">
        <f t="shared" si="0"/>
        <v>6.8576251516590777E-3</v>
      </c>
      <c r="F44" s="4">
        <f t="shared" si="2"/>
        <v>1.2228654124457292E-2</v>
      </c>
      <c r="G44" s="4">
        <f t="shared" si="1"/>
        <v>5.2430614919928616E-3</v>
      </c>
    </row>
    <row r="45" spans="1:7">
      <c r="A45" s="2">
        <v>45434</v>
      </c>
      <c r="B45" s="3">
        <v>189.43</v>
      </c>
      <c r="C45" s="3">
        <v>424.78</v>
      </c>
      <c r="D45" s="3">
        <v>174.93</v>
      </c>
      <c r="E45" s="4">
        <f t="shared" si="0"/>
        <v>-7.5444019489704917E-3</v>
      </c>
      <c r="F45" s="4">
        <f t="shared" si="2"/>
        <v>8.6973097910262274E-3</v>
      </c>
      <c r="G45" s="4">
        <f t="shared" si="1"/>
        <v>-8.2771132150347513E-3</v>
      </c>
    </row>
    <row r="46" spans="1:7">
      <c r="A46" s="2">
        <v>45435</v>
      </c>
      <c r="B46" s="3">
        <v>185.45</v>
      </c>
      <c r="C46" s="3">
        <v>421.3</v>
      </c>
      <c r="D46" s="3">
        <v>172.13</v>
      </c>
      <c r="E46" s="4">
        <f t="shared" si="0"/>
        <v>-2.1010399619912464E-2</v>
      </c>
      <c r="F46" s="4">
        <f t="shared" si="2"/>
        <v>3.4489275252763386E-3</v>
      </c>
      <c r="G46" s="4">
        <f t="shared" si="1"/>
        <v>-1.6006402561024473E-2</v>
      </c>
    </row>
    <row r="47" spans="1:7">
      <c r="A47" s="2">
        <v>45436</v>
      </c>
      <c r="B47" s="3">
        <v>188.52</v>
      </c>
      <c r="C47" s="3">
        <v>424.42</v>
      </c>
      <c r="D47" s="3">
        <v>173.56</v>
      </c>
      <c r="E47" s="4">
        <f t="shared" si="0"/>
        <v>1.6554327311944037E-2</v>
      </c>
      <c r="F47" s="4">
        <f t="shared" si="2"/>
        <v>-8.1924761052779363E-3</v>
      </c>
      <c r="G47" s="4">
        <f t="shared" si="1"/>
        <v>8.3076744321153011E-3</v>
      </c>
    </row>
    <row r="48" spans="1:7">
      <c r="A48" s="2">
        <v>45440</v>
      </c>
      <c r="B48" s="3">
        <v>188.53</v>
      </c>
      <c r="C48" s="3">
        <v>424.58</v>
      </c>
      <c r="D48" s="3">
        <v>174.95</v>
      </c>
      <c r="E48" s="4">
        <f t="shared" si="0"/>
        <v>5.3044769785650881E-5</v>
      </c>
      <c r="F48" s="4">
        <f t="shared" si="2"/>
        <v>7.4056491811061104E-3</v>
      </c>
      <c r="G48" s="4">
        <f t="shared" si="1"/>
        <v>8.0087577782898493E-3</v>
      </c>
    </row>
    <row r="49" spans="1:7">
      <c r="A49" s="2">
        <v>45441</v>
      </c>
      <c r="B49" s="3">
        <v>188.83</v>
      </c>
      <c r="C49" s="3">
        <v>423.44</v>
      </c>
      <c r="D49" s="3">
        <v>174.46</v>
      </c>
      <c r="E49" s="4">
        <f t="shared" si="0"/>
        <v>1.5912586856203859E-3</v>
      </c>
      <c r="F49" s="4">
        <f t="shared" si="2"/>
        <v>3.7698506196684456E-4</v>
      </c>
      <c r="G49" s="4">
        <f t="shared" si="1"/>
        <v>-2.800800228636643E-3</v>
      </c>
    </row>
    <row r="50" spans="1:7">
      <c r="A50" s="2">
        <v>45442</v>
      </c>
      <c r="B50" s="3">
        <v>189.82</v>
      </c>
      <c r="C50" s="3">
        <v>409.14</v>
      </c>
      <c r="D50" s="3">
        <v>170.7</v>
      </c>
      <c r="E50" s="4">
        <f t="shared" si="0"/>
        <v>5.2428109940156785E-3</v>
      </c>
      <c r="F50" s="4">
        <f t="shared" si="2"/>
        <v>-2.6850063592255557E-3</v>
      </c>
      <c r="G50" s="4">
        <f t="shared" si="1"/>
        <v>-2.155221827352986E-2</v>
      </c>
    </row>
    <row r="51" spans="1:7">
      <c r="A51" s="2">
        <v>45443</v>
      </c>
      <c r="B51" s="3">
        <v>190.77</v>
      </c>
      <c r="C51" s="3">
        <v>409.59</v>
      </c>
      <c r="D51" s="3">
        <v>171.09</v>
      </c>
      <c r="E51" s="4">
        <f t="shared" si="0"/>
        <v>5.0047413338953593E-3</v>
      </c>
      <c r="F51" s="4">
        <f t="shared" si="2"/>
        <v>-3.3771018326091091E-2</v>
      </c>
      <c r="G51" s="4">
        <f t="shared" si="1"/>
        <v>2.284710017574779E-3</v>
      </c>
    </row>
    <row r="52" spans="1:7">
      <c r="A52" s="2">
        <v>45446</v>
      </c>
      <c r="B52" s="3">
        <v>192.54</v>
      </c>
      <c r="C52" s="3">
        <v>408</v>
      </c>
      <c r="D52" s="3">
        <v>171.75</v>
      </c>
      <c r="E52" s="4">
        <f t="shared" si="0"/>
        <v>9.2781883944015389E-3</v>
      </c>
      <c r="F52" s="4">
        <f t="shared" si="2"/>
        <v>1.0998680158380717E-3</v>
      </c>
      <c r="G52" s="4">
        <f t="shared" si="1"/>
        <v>3.8576187971243003E-3</v>
      </c>
    </row>
    <row r="53" spans="1:7">
      <c r="A53" s="2">
        <v>45447</v>
      </c>
      <c r="B53" s="3">
        <v>192.86</v>
      </c>
      <c r="C53" s="3">
        <v>410.52</v>
      </c>
      <c r="D53" s="3">
        <v>172.37</v>
      </c>
      <c r="E53" s="4">
        <f t="shared" si="0"/>
        <v>1.6619923132856634E-3</v>
      </c>
      <c r="F53" s="4">
        <f t="shared" si="2"/>
        <v>-3.8819307111989431E-3</v>
      </c>
      <c r="G53" s="4">
        <f t="shared" si="1"/>
        <v>3.609898107714728E-3</v>
      </c>
    </row>
    <row r="54" spans="1:7">
      <c r="A54" s="2">
        <v>45448</v>
      </c>
      <c r="B54" s="3">
        <v>194.37</v>
      </c>
      <c r="C54" s="3">
        <v>418.35</v>
      </c>
      <c r="D54" s="3">
        <v>173.97</v>
      </c>
      <c r="E54" s="4">
        <f t="shared" si="0"/>
        <v>7.829513636834963E-3</v>
      </c>
      <c r="F54" s="4">
        <f t="shared" si="2"/>
        <v>6.1764705882352494E-3</v>
      </c>
      <c r="G54" s="4">
        <f t="shared" si="1"/>
        <v>9.2823577188605576E-3</v>
      </c>
    </row>
    <row r="55" spans="1:7">
      <c r="A55" s="2">
        <v>45449</v>
      </c>
      <c r="B55" s="3">
        <v>192.99</v>
      </c>
      <c r="C55" s="3">
        <v>418.86</v>
      </c>
      <c r="D55" s="3">
        <v>175.28</v>
      </c>
      <c r="E55" s="4">
        <f t="shared" si="0"/>
        <v>-7.0998610896743086E-3</v>
      </c>
      <c r="F55" s="4">
        <f t="shared" si="2"/>
        <v>1.9073370359544095E-2</v>
      </c>
      <c r="G55" s="4">
        <f t="shared" si="1"/>
        <v>7.5300339138932131E-3</v>
      </c>
    </row>
    <row r="56" spans="1:7">
      <c r="A56" s="2">
        <v>45450</v>
      </c>
      <c r="B56" s="3">
        <v>195.38</v>
      </c>
      <c r="C56" s="3">
        <v>418.2</v>
      </c>
      <c r="D56" s="3">
        <v>173.03</v>
      </c>
      <c r="E56" s="4">
        <f t="shared" si="0"/>
        <v>1.2384061350328962E-2</v>
      </c>
      <c r="F56" s="4">
        <f t="shared" si="2"/>
        <v>1.2190749372534742E-3</v>
      </c>
      <c r="G56" s="4">
        <f t="shared" si="1"/>
        <v>-1.2836604290278412E-2</v>
      </c>
    </row>
    <row r="57" spans="1:7">
      <c r="A57" s="2">
        <v>45453</v>
      </c>
      <c r="B57" s="3">
        <v>191.64</v>
      </c>
      <c r="C57" s="3">
        <v>422.16</v>
      </c>
      <c r="D57" s="3">
        <v>173.77</v>
      </c>
      <c r="E57" s="4">
        <f t="shared" si="0"/>
        <v>-1.9142184461050309E-2</v>
      </c>
      <c r="F57" s="4">
        <f t="shared" si="2"/>
        <v>-1.5757054863200712E-3</v>
      </c>
      <c r="G57" s="4">
        <f t="shared" si="1"/>
        <v>4.2767150205167258E-3</v>
      </c>
    </row>
    <row r="58" spans="1:7">
      <c r="A58" s="2">
        <v>45454</v>
      </c>
      <c r="B58" s="3">
        <v>205.56</v>
      </c>
      <c r="C58" s="3">
        <v>426.91</v>
      </c>
      <c r="D58" s="3">
        <v>175.37</v>
      </c>
      <c r="E58" s="4">
        <f t="shared" si="0"/>
        <v>7.2636192861615614E-2</v>
      </c>
      <c r="F58" s="4">
        <f t="shared" si="2"/>
        <v>9.4691535150646499E-3</v>
      </c>
      <c r="G58" s="4">
        <f t="shared" si="1"/>
        <v>9.2075732289808032E-3</v>
      </c>
    </row>
    <row r="59" spans="1:7">
      <c r="A59" s="2">
        <v>45455</v>
      </c>
      <c r="B59" s="3">
        <v>211.43</v>
      </c>
      <c r="C59" s="3">
        <v>435.18</v>
      </c>
      <c r="D59" s="3">
        <v>176.53</v>
      </c>
      <c r="E59" s="4">
        <f t="shared" si="0"/>
        <v>2.8556139326717283E-2</v>
      </c>
      <c r="F59" s="4">
        <f t="shared" si="2"/>
        <v>1.1251658139094182E-2</v>
      </c>
      <c r="G59" s="4">
        <f t="shared" si="1"/>
        <v>6.6145863032445488E-3</v>
      </c>
    </row>
    <row r="60" spans="1:7">
      <c r="A60" s="2">
        <v>45456</v>
      </c>
      <c r="B60" s="3">
        <v>212.6</v>
      </c>
      <c r="C60" s="3">
        <v>435.69</v>
      </c>
      <c r="D60" s="3">
        <v>173.92</v>
      </c>
      <c r="E60" s="4">
        <f t="shared" si="0"/>
        <v>5.5337463936053896E-3</v>
      </c>
      <c r="F60" s="4">
        <f t="shared" si="2"/>
        <v>1.9371764540535432E-2</v>
      </c>
      <c r="G60" s="4">
        <f t="shared" si="1"/>
        <v>-1.4785022375800224E-2</v>
      </c>
    </row>
    <row r="61" spans="1:7">
      <c r="A61" s="2">
        <v>45457</v>
      </c>
      <c r="B61" s="3">
        <v>210.86</v>
      </c>
      <c r="C61" s="3">
        <v>436.67</v>
      </c>
      <c r="D61" s="3">
        <v>175.54</v>
      </c>
      <c r="E61" s="4">
        <f t="shared" si="0"/>
        <v>-8.1843838193790246E-3</v>
      </c>
      <c r="F61" s="4">
        <f t="shared" si="2"/>
        <v>1.1719288570246585E-3</v>
      </c>
      <c r="G61" s="4">
        <f t="shared" si="1"/>
        <v>9.31462741490343E-3</v>
      </c>
    </row>
    <row r="62" spans="1:7">
      <c r="A62" s="2">
        <v>45460</v>
      </c>
      <c r="B62" s="3">
        <v>215.01</v>
      </c>
      <c r="C62" s="3">
        <v>442.39</v>
      </c>
      <c r="D62" s="3">
        <v>175.99</v>
      </c>
      <c r="E62" s="4">
        <f t="shared" si="0"/>
        <v>1.9681305131366674E-2</v>
      </c>
      <c r="F62" s="4">
        <f t="shared" si="2"/>
        <v>2.2493056990062158E-3</v>
      </c>
      <c r="G62" s="4">
        <f t="shared" si="1"/>
        <v>2.5635182864305406E-3</v>
      </c>
    </row>
    <row r="63" spans="1:7">
      <c r="A63" s="2">
        <v>45461</v>
      </c>
      <c r="B63" s="3">
        <v>212.65</v>
      </c>
      <c r="C63" s="3">
        <v>440.39</v>
      </c>
      <c r="D63" s="3">
        <v>173.85</v>
      </c>
      <c r="E63" s="4">
        <f t="shared" si="0"/>
        <v>-1.0976233663550465E-2</v>
      </c>
      <c r="F63" s="4">
        <f t="shared" si="2"/>
        <v>1.3099136647811781E-2</v>
      </c>
      <c r="G63" s="4">
        <f t="shared" si="1"/>
        <v>-1.2159781805784503E-2</v>
      </c>
    </row>
    <row r="64" spans="1:7">
      <c r="A64" s="2">
        <v>45463</v>
      </c>
      <c r="B64" s="3">
        <v>208.07</v>
      </c>
      <c r="C64" s="3">
        <v>439.75</v>
      </c>
      <c r="D64" s="3">
        <v>175.06</v>
      </c>
      <c r="E64" s="4">
        <f t="shared" si="0"/>
        <v>-2.1537738067246709E-2</v>
      </c>
      <c r="F64" s="4">
        <f t="shared" si="2"/>
        <v>-4.520897850313072E-3</v>
      </c>
      <c r="G64" s="4">
        <f t="shared" si="1"/>
        <v>6.9600230083405696E-3</v>
      </c>
    </row>
    <row r="65" spans="1:7">
      <c r="A65" s="2">
        <v>45464</v>
      </c>
      <c r="B65" s="3">
        <v>205.9</v>
      </c>
      <c r="C65" s="3">
        <v>443.78</v>
      </c>
      <c r="D65" s="3">
        <v>178.36</v>
      </c>
      <c r="E65" s="4">
        <f t="shared" si="0"/>
        <v>-1.0429182486663082E-2</v>
      </c>
      <c r="F65" s="4">
        <f t="shared" si="2"/>
        <v>-1.4532573400848937E-3</v>
      </c>
      <c r="G65" s="4">
        <f t="shared" si="1"/>
        <v>1.8850679766937113E-2</v>
      </c>
    </row>
    <row r="66" spans="1:7">
      <c r="A66" s="2">
        <v>45467</v>
      </c>
      <c r="B66" s="3">
        <v>206.54</v>
      </c>
      <c r="C66" s="3">
        <v>441.7</v>
      </c>
      <c r="D66" s="3">
        <v>177.95</v>
      </c>
      <c r="E66" s="4">
        <f t="shared" si="0"/>
        <v>3.1083050024282972E-3</v>
      </c>
      <c r="F66" s="4">
        <f t="shared" si="2"/>
        <v>9.1642978965320587E-3</v>
      </c>
      <c r="G66" s="4">
        <f t="shared" si="1"/>
        <v>-2.2987216864769288E-3</v>
      </c>
    </row>
    <row r="67" spans="1:7">
      <c r="A67" s="2">
        <v>45468</v>
      </c>
      <c r="B67" s="3">
        <v>207.47</v>
      </c>
      <c r="C67" s="3">
        <v>444.93</v>
      </c>
      <c r="D67" s="3">
        <v>182.73</v>
      </c>
      <c r="E67" s="4">
        <f t="shared" si="0"/>
        <v>4.5027597559795041E-3</v>
      </c>
      <c r="F67" s="4">
        <f t="shared" si="2"/>
        <v>-4.6870070755779536E-3</v>
      </c>
      <c r="G67" s="4">
        <f t="shared" si="1"/>
        <v>2.6861477943242493E-2</v>
      </c>
    </row>
    <row r="68" spans="1:7">
      <c r="A68" s="2">
        <v>45469</v>
      </c>
      <c r="B68" s="3">
        <v>211.61</v>
      </c>
      <c r="C68" s="3">
        <v>446.13</v>
      </c>
      <c r="D68" s="3">
        <v>182.58</v>
      </c>
      <c r="E68" s="4">
        <f t="shared" ref="E68:E131" si="3">(B68-B67)/B67</f>
        <v>1.995469224466195E-2</v>
      </c>
      <c r="F68" s="4">
        <f t="shared" si="2"/>
        <v>7.3126556486303338E-3</v>
      </c>
      <c r="G68" s="4">
        <f t="shared" ref="G68:G131" si="4">(D68-D67)/D67</f>
        <v>-8.2088327039882487E-4</v>
      </c>
    </row>
    <row r="69" spans="1:7">
      <c r="A69" s="2">
        <v>45470</v>
      </c>
      <c r="B69" s="3">
        <v>212.46</v>
      </c>
      <c r="C69" s="3">
        <v>446.81</v>
      </c>
      <c r="D69" s="3">
        <v>184.1</v>
      </c>
      <c r="E69" s="4">
        <f t="shared" si="3"/>
        <v>4.0168234015405431E-3</v>
      </c>
      <c r="F69" s="4">
        <f t="shared" ref="F69:F132" si="5">(C68-C67)/C67</f>
        <v>2.6970534690849992E-3</v>
      </c>
      <c r="G69" s="4">
        <f t="shared" si="4"/>
        <v>8.3251177565997463E-3</v>
      </c>
    </row>
    <row r="70" spans="1:7">
      <c r="A70" s="2">
        <v>45471</v>
      </c>
      <c r="B70" s="3">
        <v>209</v>
      </c>
      <c r="C70" s="3">
        <v>440.99</v>
      </c>
      <c r="D70" s="3">
        <v>180.86</v>
      </c>
      <c r="E70" s="4">
        <f t="shared" si="3"/>
        <v>-1.6285418431704828E-2</v>
      </c>
      <c r="F70" s="4">
        <f t="shared" si="5"/>
        <v>1.5242193979333532E-3</v>
      </c>
      <c r="G70" s="4">
        <f t="shared" si="4"/>
        <v>-1.7599130907115592E-2</v>
      </c>
    </row>
    <row r="71" spans="1:7">
      <c r="A71" s="2">
        <v>45474</v>
      </c>
      <c r="B71" s="3">
        <v>215.09</v>
      </c>
      <c r="C71" s="3">
        <v>450.64</v>
      </c>
      <c r="D71" s="3">
        <v>181.7</v>
      </c>
      <c r="E71" s="4">
        <f t="shared" si="3"/>
        <v>2.9138755980861259E-2</v>
      </c>
      <c r="F71" s="4">
        <f t="shared" si="5"/>
        <v>-1.3025670866811381E-2</v>
      </c>
      <c r="G71" s="4">
        <f t="shared" si="4"/>
        <v>4.6444763905782093E-3</v>
      </c>
    </row>
    <row r="72" spans="1:7">
      <c r="A72" s="2">
        <v>45475</v>
      </c>
      <c r="B72" s="3">
        <v>218.58</v>
      </c>
      <c r="C72" s="3">
        <v>453.15</v>
      </c>
      <c r="D72" s="3">
        <v>183.93</v>
      </c>
      <c r="E72" s="4">
        <f t="shared" si="3"/>
        <v>1.6225765958436045E-2</v>
      </c>
      <c r="F72" s="4">
        <f t="shared" si="5"/>
        <v>2.1882582371482294E-2</v>
      </c>
      <c r="G72" s="4">
        <f t="shared" si="4"/>
        <v>1.2272977435333067E-2</v>
      </c>
    </row>
    <row r="73" spans="1:7">
      <c r="A73" s="2">
        <v>45476</v>
      </c>
      <c r="B73" s="3">
        <v>219.85</v>
      </c>
      <c r="C73" s="3">
        <v>454.62</v>
      </c>
      <c r="D73" s="3">
        <v>184.51</v>
      </c>
      <c r="E73" s="4">
        <f t="shared" si="3"/>
        <v>5.8102296641960914E-3</v>
      </c>
      <c r="F73" s="4">
        <f t="shared" si="5"/>
        <v>5.5698562045091229E-3</v>
      </c>
      <c r="G73" s="4">
        <f t="shared" si="4"/>
        <v>3.1533735660304683E-3</v>
      </c>
    </row>
    <row r="74" spans="1:7">
      <c r="A74" s="2">
        <v>45478</v>
      </c>
      <c r="B74" s="3">
        <v>224.6</v>
      </c>
      <c r="C74" s="3">
        <v>461.32</v>
      </c>
      <c r="D74" s="3">
        <v>189.25</v>
      </c>
      <c r="E74" s="4">
        <f t="shared" si="3"/>
        <v>2.160564020923357E-2</v>
      </c>
      <c r="F74" s="4">
        <f t="shared" si="5"/>
        <v>3.2439589539888058E-3</v>
      </c>
      <c r="G74" s="4">
        <f t="shared" si="4"/>
        <v>2.5689664516828407E-2</v>
      </c>
    </row>
    <row r="75" spans="1:7">
      <c r="A75" s="2">
        <v>45481</v>
      </c>
      <c r="B75" s="3">
        <v>226.07</v>
      </c>
      <c r="C75" s="3">
        <v>460.02</v>
      </c>
      <c r="D75" s="3">
        <v>187.7</v>
      </c>
      <c r="E75" s="4">
        <f t="shared" si="3"/>
        <v>6.5449688334817402E-3</v>
      </c>
      <c r="F75" s="4">
        <f t="shared" si="5"/>
        <v>1.4737583036382009E-2</v>
      </c>
      <c r="G75" s="4">
        <f t="shared" si="4"/>
        <v>-8.1902245706737715E-3</v>
      </c>
    </row>
    <row r="76" spans="1:7">
      <c r="A76" s="2">
        <v>45482</v>
      </c>
      <c r="B76" s="3">
        <v>226.92</v>
      </c>
      <c r="C76" s="3">
        <v>453.41</v>
      </c>
      <c r="D76" s="3">
        <v>187.65</v>
      </c>
      <c r="E76" s="4">
        <f t="shared" si="3"/>
        <v>3.7598973769186286E-3</v>
      </c>
      <c r="F76" s="4">
        <f t="shared" si="5"/>
        <v>-2.8180005202462746E-3</v>
      </c>
      <c r="G76" s="4">
        <f t="shared" si="4"/>
        <v>-2.6638252530624909E-4</v>
      </c>
    </row>
    <row r="77" spans="1:7">
      <c r="A77" s="2">
        <v>45483</v>
      </c>
      <c r="B77" s="3">
        <v>231.19</v>
      </c>
      <c r="C77" s="3">
        <v>460.03</v>
      </c>
      <c r="D77" s="3">
        <v>189.83</v>
      </c>
      <c r="E77" s="4">
        <f t="shared" si="3"/>
        <v>1.8817204301075315E-2</v>
      </c>
      <c r="F77" s="4">
        <f t="shared" si="5"/>
        <v>-1.4368940480848566E-2</v>
      </c>
      <c r="G77" s="4">
        <f t="shared" si="4"/>
        <v>1.1617372768451942E-2</v>
      </c>
    </row>
    <row r="78" spans="1:7">
      <c r="A78" s="2">
        <v>45484</v>
      </c>
      <c r="B78" s="3">
        <v>225.82</v>
      </c>
      <c r="C78" s="3">
        <v>448.63</v>
      </c>
      <c r="D78" s="3">
        <v>184.26</v>
      </c>
      <c r="E78" s="4">
        <f t="shared" si="3"/>
        <v>-2.3227648254682317E-2</v>
      </c>
      <c r="F78" s="4">
        <f t="shared" si="5"/>
        <v>1.4600471979003434E-2</v>
      </c>
      <c r="G78" s="4">
        <f t="shared" si="4"/>
        <v>-2.9342042880472114E-2</v>
      </c>
    </row>
    <row r="79" spans="1:7">
      <c r="A79" s="2">
        <v>45485</v>
      </c>
      <c r="B79" s="3">
        <v>228.77</v>
      </c>
      <c r="C79" s="3">
        <v>447.5</v>
      </c>
      <c r="D79" s="3">
        <v>183.76</v>
      </c>
      <c r="E79" s="4">
        <f t="shared" si="3"/>
        <v>1.306350190417154E-2</v>
      </c>
      <c r="F79" s="4">
        <f t="shared" si="5"/>
        <v>-2.4780992543964476E-2</v>
      </c>
      <c r="G79" s="4">
        <f t="shared" si="4"/>
        <v>-2.7135569304244005E-3</v>
      </c>
    </row>
    <row r="80" spans="1:7">
      <c r="A80" s="2">
        <v>45488</v>
      </c>
      <c r="B80" s="3">
        <v>232.6</v>
      </c>
      <c r="C80" s="3">
        <v>447.9</v>
      </c>
      <c r="D80" s="3">
        <v>185.21</v>
      </c>
      <c r="E80" s="4">
        <f t="shared" si="3"/>
        <v>1.6741705643222381E-2</v>
      </c>
      <c r="F80" s="4">
        <f t="shared" si="5"/>
        <v>-2.5187793950471335E-3</v>
      </c>
      <c r="G80" s="4">
        <f t="shared" si="4"/>
        <v>7.8907270352634798E-3</v>
      </c>
    </row>
    <row r="81" spans="1:7">
      <c r="A81" s="2">
        <v>45489</v>
      </c>
      <c r="B81" s="3">
        <v>233.02</v>
      </c>
      <c r="C81" s="3">
        <v>443.52</v>
      </c>
      <c r="D81" s="3">
        <v>182.62</v>
      </c>
      <c r="E81" s="4">
        <f t="shared" si="3"/>
        <v>1.8056749785039378E-3</v>
      </c>
      <c r="F81" s="4">
        <f t="shared" si="5"/>
        <v>8.9385474860330112E-4</v>
      </c>
      <c r="G81" s="4">
        <f t="shared" si="4"/>
        <v>-1.3984126127098987E-2</v>
      </c>
    </row>
    <row r="82" spans="1:7">
      <c r="A82" s="2">
        <v>45490</v>
      </c>
      <c r="B82" s="3">
        <v>227.12</v>
      </c>
      <c r="C82" s="3">
        <v>437.6</v>
      </c>
      <c r="D82" s="3">
        <v>179.74</v>
      </c>
      <c r="E82" s="4">
        <f t="shared" si="3"/>
        <v>-2.5319715045918827E-2</v>
      </c>
      <c r="F82" s="4">
        <f t="shared" si="5"/>
        <v>-9.7789685197588651E-3</v>
      </c>
      <c r="G82" s="4">
        <f t="shared" si="4"/>
        <v>-1.5770452305333454E-2</v>
      </c>
    </row>
    <row r="83" spans="1:7">
      <c r="A83" s="2">
        <v>45491</v>
      </c>
      <c r="B83" s="3">
        <v>222.46</v>
      </c>
      <c r="C83" s="3">
        <v>434.5</v>
      </c>
      <c r="D83" s="3">
        <v>176.44</v>
      </c>
      <c r="E83" s="4">
        <f t="shared" si="3"/>
        <v>-2.051778795350474E-2</v>
      </c>
      <c r="F83" s="4">
        <f t="shared" si="5"/>
        <v>-1.3347763347763256E-2</v>
      </c>
      <c r="G83" s="4">
        <f t="shared" si="4"/>
        <v>-1.8359853121175093E-2</v>
      </c>
    </row>
    <row r="84" spans="1:7">
      <c r="A84" s="2">
        <v>45492</v>
      </c>
      <c r="B84" s="3">
        <v>222.59</v>
      </c>
      <c r="C84" s="3">
        <v>431.28</v>
      </c>
      <c r="D84" s="3">
        <v>176.41</v>
      </c>
      <c r="E84" s="4">
        <f t="shared" si="3"/>
        <v>5.8437471905059535E-4</v>
      </c>
      <c r="F84" s="4">
        <f t="shared" si="5"/>
        <v>-7.0840950639854267E-3</v>
      </c>
      <c r="G84" s="4">
        <f t="shared" si="4"/>
        <v>-1.7002947177511413E-4</v>
      </c>
    </row>
    <row r="85" spans="1:7">
      <c r="A85" s="2">
        <v>45495</v>
      </c>
      <c r="B85" s="3">
        <v>222.24</v>
      </c>
      <c r="C85" s="3">
        <v>437.03</v>
      </c>
      <c r="D85" s="3">
        <v>180.39</v>
      </c>
      <c r="E85" s="4">
        <f t="shared" si="3"/>
        <v>-1.5723976818365348E-3</v>
      </c>
      <c r="F85" s="4">
        <f t="shared" si="5"/>
        <v>-7.4108170310702584E-3</v>
      </c>
      <c r="G85" s="4">
        <f t="shared" si="4"/>
        <v>2.2561079303894279E-2</v>
      </c>
    </row>
    <row r="86" spans="1:7">
      <c r="A86" s="2">
        <v>45496</v>
      </c>
      <c r="B86" s="3">
        <v>223.28</v>
      </c>
      <c r="C86" s="3">
        <v>438.92</v>
      </c>
      <c r="D86" s="3">
        <v>180.51</v>
      </c>
      <c r="E86" s="4">
        <f t="shared" si="3"/>
        <v>4.679625629949568E-3</v>
      </c>
      <c r="F86" s="4">
        <f t="shared" si="5"/>
        <v>1.3332405861621221E-2</v>
      </c>
      <c r="G86" s="4">
        <f t="shared" si="4"/>
        <v>6.6522534508567301E-4</v>
      </c>
    </row>
    <row r="87" spans="1:7">
      <c r="A87" s="2">
        <v>45497</v>
      </c>
      <c r="B87" s="3">
        <v>216.86</v>
      </c>
      <c r="C87" s="3">
        <v>423.18</v>
      </c>
      <c r="D87" s="3">
        <v>171.41</v>
      </c>
      <c r="E87" s="4">
        <f t="shared" si="3"/>
        <v>-2.8753135077033264E-2</v>
      </c>
      <c r="F87" s="4">
        <f t="shared" si="5"/>
        <v>4.3246459053155233E-3</v>
      </c>
      <c r="G87" s="4">
        <f t="shared" si="4"/>
        <v>-5.0412719516924241E-2</v>
      </c>
    </row>
    <row r="88" spans="1:7">
      <c r="A88" s="2">
        <v>45498</v>
      </c>
      <c r="B88" s="3">
        <v>215.82</v>
      </c>
      <c r="C88" s="3">
        <v>412.82</v>
      </c>
      <c r="D88" s="3">
        <v>166.1</v>
      </c>
      <c r="E88" s="4">
        <f t="shared" si="3"/>
        <v>-4.7957207414923014E-3</v>
      </c>
      <c r="F88" s="4">
        <f t="shared" si="5"/>
        <v>-3.5860749111455412E-2</v>
      </c>
      <c r="G88" s="4">
        <f t="shared" si="4"/>
        <v>-3.097835598856544E-2</v>
      </c>
    </row>
    <row r="89" spans="1:7">
      <c r="A89" s="2">
        <v>45499</v>
      </c>
      <c r="B89" s="3">
        <v>216.29</v>
      </c>
      <c r="C89" s="3">
        <v>419.6</v>
      </c>
      <c r="D89" s="3">
        <v>165.82</v>
      </c>
      <c r="E89" s="4">
        <f t="shared" si="3"/>
        <v>2.1777407098507963E-3</v>
      </c>
      <c r="F89" s="4">
        <f t="shared" si="5"/>
        <v>-2.4481308190368197E-2</v>
      </c>
      <c r="G89" s="4">
        <f t="shared" si="4"/>
        <v>-1.6857314870559973E-3</v>
      </c>
    </row>
    <row r="90" spans="1:7">
      <c r="A90" s="2">
        <v>45502</v>
      </c>
      <c r="B90" s="3">
        <v>216.57</v>
      </c>
      <c r="C90" s="3">
        <v>421.04</v>
      </c>
      <c r="D90" s="3">
        <v>168.33</v>
      </c>
      <c r="E90" s="4">
        <f t="shared" si="3"/>
        <v>1.2945582320033342E-3</v>
      </c>
      <c r="F90" s="4">
        <f t="shared" si="5"/>
        <v>1.6423622886488128E-2</v>
      </c>
      <c r="G90" s="4">
        <f t="shared" si="4"/>
        <v>1.5136895428778311E-2</v>
      </c>
    </row>
    <row r="91" spans="1:7">
      <c r="A91" s="2">
        <v>45503</v>
      </c>
      <c r="B91" s="3">
        <v>217.12</v>
      </c>
      <c r="C91" s="3">
        <v>417.28</v>
      </c>
      <c r="D91" s="3">
        <v>169.09</v>
      </c>
      <c r="E91" s="4">
        <f t="shared" si="3"/>
        <v>2.5395945883548571E-3</v>
      </c>
      <c r="F91" s="4">
        <f t="shared" si="5"/>
        <v>3.431839847473779E-3</v>
      </c>
      <c r="G91" s="4">
        <f t="shared" si="4"/>
        <v>4.5149408899185575E-3</v>
      </c>
    </row>
    <row r="92" spans="1:7">
      <c r="A92" s="2">
        <v>45504</v>
      </c>
      <c r="B92" s="3">
        <v>220.38</v>
      </c>
      <c r="C92" s="3">
        <v>412.77</v>
      </c>
      <c r="D92" s="3">
        <v>170.33</v>
      </c>
      <c r="E92" s="4">
        <f t="shared" si="3"/>
        <v>1.5014738393515064E-2</v>
      </c>
      <c r="F92" s="4">
        <f t="shared" si="5"/>
        <v>-8.9302679080373541E-3</v>
      </c>
      <c r="G92" s="4">
        <f t="shared" si="4"/>
        <v>7.3333727600686559E-3</v>
      </c>
    </row>
    <row r="93" spans="1:7">
      <c r="A93" s="2">
        <v>45505</v>
      </c>
      <c r="B93" s="3">
        <v>216.68</v>
      </c>
      <c r="C93" s="3">
        <v>411.55</v>
      </c>
      <c r="D93" s="3">
        <v>169.55</v>
      </c>
      <c r="E93" s="4">
        <f t="shared" si="3"/>
        <v>-1.6789182321444725E-2</v>
      </c>
      <c r="F93" s="4">
        <f t="shared" si="5"/>
        <v>-1.0808090490797525E-2</v>
      </c>
      <c r="G93" s="4">
        <f t="shared" si="4"/>
        <v>-4.5793459754594089E-3</v>
      </c>
    </row>
    <row r="94" spans="1:7">
      <c r="A94" s="2">
        <v>45506</v>
      </c>
      <c r="B94" s="3">
        <v>218.17</v>
      </c>
      <c r="C94" s="3">
        <v>403.04</v>
      </c>
      <c r="D94" s="3">
        <v>165.48</v>
      </c>
      <c r="E94" s="4">
        <f t="shared" si="3"/>
        <v>6.8764999076978981E-3</v>
      </c>
      <c r="F94" s="4">
        <f t="shared" si="5"/>
        <v>-2.9556411560916988E-3</v>
      </c>
      <c r="G94" s="4">
        <f t="shared" si="4"/>
        <v>-2.400471837216173E-2</v>
      </c>
    </row>
    <row r="95" spans="1:7">
      <c r="A95" s="2">
        <v>45509</v>
      </c>
      <c r="B95" s="3">
        <v>207.66</v>
      </c>
      <c r="C95" s="3">
        <v>389.88</v>
      </c>
      <c r="D95" s="3">
        <v>158.13</v>
      </c>
      <c r="E95" s="4">
        <f t="shared" si="3"/>
        <v>-4.8173442728147733E-2</v>
      </c>
      <c r="F95" s="4">
        <f t="shared" si="5"/>
        <v>-2.0677924917992932E-2</v>
      </c>
      <c r="G95" s="4">
        <f t="shared" si="4"/>
        <v>-4.4416243654822302E-2</v>
      </c>
    </row>
    <row r="96" spans="1:7">
      <c r="A96" s="2">
        <v>45510</v>
      </c>
      <c r="B96" s="3">
        <v>205.64</v>
      </c>
      <c r="C96" s="3">
        <v>394.28</v>
      </c>
      <c r="D96" s="3">
        <v>157.16999999999999</v>
      </c>
      <c r="E96" s="4">
        <f t="shared" si="3"/>
        <v>-9.7274390831166829E-3</v>
      </c>
      <c r="F96" s="4">
        <f t="shared" si="5"/>
        <v>-3.2651845970623324E-2</v>
      </c>
      <c r="G96" s="4">
        <f t="shared" si="4"/>
        <v>-6.0709542781256431E-3</v>
      </c>
    </row>
    <row r="97" spans="1:7">
      <c r="A97" s="2">
        <v>45511</v>
      </c>
      <c r="B97" s="3">
        <v>208.21</v>
      </c>
      <c r="C97" s="3">
        <v>393.11</v>
      </c>
      <c r="D97" s="3">
        <v>157.82</v>
      </c>
      <c r="E97" s="4">
        <f t="shared" si="3"/>
        <v>1.2497568566426871E-2</v>
      </c>
      <c r="F97" s="4">
        <f t="shared" si="5"/>
        <v>1.1285523750897654E-2</v>
      </c>
      <c r="G97" s="4">
        <f t="shared" si="4"/>
        <v>4.1356492969396559E-3</v>
      </c>
    </row>
    <row r="98" spans="1:7">
      <c r="A98" s="2">
        <v>45512</v>
      </c>
      <c r="B98" s="3">
        <v>211.67</v>
      </c>
      <c r="C98" s="3">
        <v>397.32</v>
      </c>
      <c r="D98" s="3">
        <v>160.88999999999999</v>
      </c>
      <c r="E98" s="4">
        <f t="shared" si="3"/>
        <v>1.6617837759953794E-2</v>
      </c>
      <c r="F98" s="4">
        <f t="shared" si="5"/>
        <v>-2.9674343106420795E-3</v>
      </c>
      <c r="G98" s="4">
        <f t="shared" si="4"/>
        <v>1.9452540869344781E-2</v>
      </c>
    </row>
    <row r="99" spans="1:7">
      <c r="A99" s="2">
        <v>45513</v>
      </c>
      <c r="B99" s="3">
        <v>214.58</v>
      </c>
      <c r="C99" s="3">
        <v>400.6</v>
      </c>
      <c r="D99" s="3">
        <v>162.51</v>
      </c>
      <c r="E99" s="4">
        <f t="shared" si="3"/>
        <v>1.3747814995039567E-2</v>
      </c>
      <c r="F99" s="4">
        <f t="shared" si="5"/>
        <v>1.0709470631629772E-2</v>
      </c>
      <c r="G99" s="4">
        <f t="shared" si="4"/>
        <v>1.0068991236248397E-2</v>
      </c>
    </row>
    <row r="100" spans="1:7">
      <c r="A100" s="2">
        <v>45516</v>
      </c>
      <c r="B100" s="3">
        <v>216.11</v>
      </c>
      <c r="C100" s="3">
        <v>401.38</v>
      </c>
      <c r="D100" s="3">
        <v>161.13999999999999</v>
      </c>
      <c r="E100" s="4">
        <f t="shared" si="3"/>
        <v>7.1302078478889044E-3</v>
      </c>
      <c r="F100" s="4">
        <f t="shared" si="5"/>
        <v>8.2553105808920516E-3</v>
      </c>
      <c r="G100" s="4">
        <f t="shared" si="4"/>
        <v>-8.4302504461264208E-3</v>
      </c>
    </row>
    <row r="101" spans="1:7">
      <c r="A101" s="2">
        <v>45517</v>
      </c>
      <c r="B101" s="3">
        <v>219.83</v>
      </c>
      <c r="C101" s="3">
        <v>408.49</v>
      </c>
      <c r="D101" s="3">
        <v>163</v>
      </c>
      <c r="E101" s="4">
        <f t="shared" si="3"/>
        <v>1.7213456110314187E-2</v>
      </c>
      <c r="F101" s="4">
        <f t="shared" si="5"/>
        <v>1.9470793809285389E-3</v>
      </c>
      <c r="G101" s="4">
        <f t="shared" si="4"/>
        <v>1.154275785031658E-2</v>
      </c>
    </row>
    <row r="102" spans="1:7">
      <c r="A102" s="2">
        <v>45518</v>
      </c>
      <c r="B102" s="3">
        <v>220.27</v>
      </c>
      <c r="C102" s="3">
        <v>411.3</v>
      </c>
      <c r="D102" s="3">
        <v>159.24</v>
      </c>
      <c r="E102" s="4">
        <f t="shared" si="3"/>
        <v>2.0015466496838361E-3</v>
      </c>
      <c r="F102" s="4">
        <f t="shared" si="5"/>
        <v>1.7713887089541119E-2</v>
      </c>
      <c r="G102" s="4">
        <f t="shared" si="4"/>
        <v>-2.3067484662576632E-2</v>
      </c>
    </row>
    <row r="103" spans="1:7">
      <c r="A103" s="2">
        <v>45519</v>
      </c>
      <c r="B103" s="3">
        <v>223.25</v>
      </c>
      <c r="C103" s="3">
        <v>416.16</v>
      </c>
      <c r="D103" s="3">
        <v>160.16</v>
      </c>
      <c r="E103" s="4">
        <f t="shared" si="3"/>
        <v>1.3528850955645298E-2</v>
      </c>
      <c r="F103" s="4">
        <f t="shared" si="5"/>
        <v>6.8789933658106742E-3</v>
      </c>
      <c r="G103" s="4">
        <f t="shared" si="4"/>
        <v>5.7774428535543043E-3</v>
      </c>
    </row>
    <row r="104" spans="1:7">
      <c r="A104" s="2">
        <v>45520</v>
      </c>
      <c r="B104" s="3">
        <v>224.57</v>
      </c>
      <c r="C104" s="3">
        <v>413.63</v>
      </c>
      <c r="D104" s="3">
        <v>161.81</v>
      </c>
      <c r="E104" s="4">
        <f t="shared" si="3"/>
        <v>5.9126539753639115E-3</v>
      </c>
      <c r="F104" s="4">
        <f t="shared" si="5"/>
        <v>1.1816192560175088E-2</v>
      </c>
      <c r="G104" s="4">
        <f t="shared" si="4"/>
        <v>1.0302197802197838E-2</v>
      </c>
    </row>
    <row r="105" spans="1:7">
      <c r="A105" s="2">
        <v>45523</v>
      </c>
      <c r="B105" s="3">
        <v>224.42</v>
      </c>
      <c r="C105" s="3">
        <v>416.66</v>
      </c>
      <c r="D105" s="3">
        <v>165.49</v>
      </c>
      <c r="E105" s="4">
        <f t="shared" si="3"/>
        <v>-6.6794318030015442E-4</v>
      </c>
      <c r="F105" s="4">
        <f t="shared" si="5"/>
        <v>-6.0793925413303281E-3</v>
      </c>
      <c r="G105" s="4">
        <f t="shared" si="4"/>
        <v>2.2742722946665885E-2</v>
      </c>
    </row>
    <row r="106" spans="1:7">
      <c r="A106" s="2">
        <v>45524</v>
      </c>
      <c r="B106" s="3">
        <v>225.03</v>
      </c>
      <c r="C106" s="3">
        <v>419.89</v>
      </c>
      <c r="D106" s="3">
        <v>166</v>
      </c>
      <c r="E106" s="4">
        <f t="shared" si="3"/>
        <v>2.7181178148115749E-3</v>
      </c>
      <c r="F106" s="4">
        <f t="shared" si="5"/>
        <v>7.325387423542851E-3</v>
      </c>
      <c r="G106" s="4">
        <f t="shared" si="4"/>
        <v>3.0817572058734117E-3</v>
      </c>
    </row>
    <row r="107" spans="1:7">
      <c r="A107" s="2">
        <v>45525</v>
      </c>
      <c r="B107" s="3">
        <v>224.92</v>
      </c>
      <c r="C107" s="3">
        <v>419.24</v>
      </c>
      <c r="D107" s="3">
        <v>164.68</v>
      </c>
      <c r="E107" s="4">
        <f t="shared" si="3"/>
        <v>-4.8882371239396369E-4</v>
      </c>
      <c r="F107" s="4">
        <f t="shared" si="5"/>
        <v>7.7521240339844507E-3</v>
      </c>
      <c r="G107" s="4">
        <f t="shared" si="4"/>
        <v>-7.9518072289156208E-3</v>
      </c>
    </row>
    <row r="108" spans="1:7">
      <c r="A108" s="2">
        <v>45526</v>
      </c>
      <c r="B108" s="3">
        <v>223.06</v>
      </c>
      <c r="C108" s="3">
        <v>410.75</v>
      </c>
      <c r="D108" s="3">
        <v>162.63999999999999</v>
      </c>
      <c r="E108" s="4">
        <f t="shared" si="3"/>
        <v>-8.2696069713675321E-3</v>
      </c>
      <c r="F108" s="4">
        <f t="shared" si="5"/>
        <v>-1.5480244826025322E-3</v>
      </c>
      <c r="G108" s="4">
        <f t="shared" si="4"/>
        <v>-1.2387660918144404E-2</v>
      </c>
    </row>
    <row r="109" spans="1:7">
      <c r="A109" s="2">
        <v>45527</v>
      </c>
      <c r="B109" s="3">
        <v>225.36</v>
      </c>
      <c r="C109" s="3">
        <v>411.97</v>
      </c>
      <c r="D109" s="3">
        <v>164.45</v>
      </c>
      <c r="E109" s="4">
        <f t="shared" si="3"/>
        <v>1.0311127051017714E-2</v>
      </c>
      <c r="F109" s="4">
        <f t="shared" si="5"/>
        <v>-2.0250930254746707E-2</v>
      </c>
      <c r="G109" s="4">
        <f t="shared" si="4"/>
        <v>1.1128873585833757E-2</v>
      </c>
    </row>
    <row r="110" spans="1:7">
      <c r="A110" s="2">
        <v>45530</v>
      </c>
      <c r="B110" s="3">
        <v>225.7</v>
      </c>
      <c r="C110" s="3">
        <v>408.71</v>
      </c>
      <c r="D110" s="3">
        <v>164.99</v>
      </c>
      <c r="E110" s="4">
        <f t="shared" si="3"/>
        <v>1.508697195598043E-3</v>
      </c>
      <c r="F110" s="4">
        <f t="shared" si="5"/>
        <v>2.9701765063908149E-3</v>
      </c>
      <c r="G110" s="4">
        <f t="shared" si="4"/>
        <v>3.2836728488903648E-3</v>
      </c>
    </row>
    <row r="111" spans="1:7">
      <c r="A111" s="2">
        <v>45531</v>
      </c>
      <c r="B111" s="3">
        <v>226.54</v>
      </c>
      <c r="C111" s="3">
        <v>409.06</v>
      </c>
      <c r="D111" s="3">
        <v>163.52000000000001</v>
      </c>
      <c r="E111" s="4">
        <f t="shared" si="3"/>
        <v>3.7217545414266881E-3</v>
      </c>
      <c r="F111" s="4">
        <f t="shared" si="5"/>
        <v>-7.9131975629294551E-3</v>
      </c>
      <c r="G111" s="4">
        <f t="shared" si="4"/>
        <v>-8.9096308867204002E-3</v>
      </c>
    </row>
    <row r="112" spans="1:7">
      <c r="A112" s="2">
        <v>45532</v>
      </c>
      <c r="B112" s="3">
        <v>225.01</v>
      </c>
      <c r="C112" s="3">
        <v>405.85</v>
      </c>
      <c r="D112" s="3">
        <v>161.69999999999999</v>
      </c>
      <c r="E112" s="4">
        <f t="shared" si="3"/>
        <v>-6.7537741679173707E-3</v>
      </c>
      <c r="F112" s="4">
        <f t="shared" si="5"/>
        <v>8.5635291527005148E-4</v>
      </c>
      <c r="G112" s="4">
        <f t="shared" si="4"/>
        <v>-1.1130136986301501E-2</v>
      </c>
    </row>
    <row r="113" spans="1:7">
      <c r="A113" s="2">
        <v>45533</v>
      </c>
      <c r="B113" s="3">
        <v>228.29</v>
      </c>
      <c r="C113" s="3">
        <v>408.34</v>
      </c>
      <c r="D113" s="3">
        <v>160.63999999999999</v>
      </c>
      <c r="E113" s="4">
        <f t="shared" si="3"/>
        <v>1.4577129905337546E-2</v>
      </c>
      <c r="F113" s="4">
        <f t="shared" si="5"/>
        <v>-7.8472595707230718E-3</v>
      </c>
      <c r="G113" s="4">
        <f t="shared" si="4"/>
        <v>-6.5553494124922845E-3</v>
      </c>
    </row>
    <row r="114" spans="1:7">
      <c r="A114" s="2">
        <v>45534</v>
      </c>
      <c r="B114" s="3">
        <v>227.51</v>
      </c>
      <c r="C114" s="3">
        <v>412.32</v>
      </c>
      <c r="D114" s="3">
        <v>162.22999999999999</v>
      </c>
      <c r="E114" s="4">
        <f t="shared" si="3"/>
        <v>-3.4167068202724657E-3</v>
      </c>
      <c r="F114" s="4">
        <f t="shared" si="5"/>
        <v>6.1352716520880922E-3</v>
      </c>
      <c r="G114" s="4">
        <f t="shared" si="4"/>
        <v>9.897908366533887E-3</v>
      </c>
    </row>
    <row r="115" spans="1:7">
      <c r="A115" s="2">
        <v>45538</v>
      </c>
      <c r="B115" s="3">
        <v>221.32</v>
      </c>
      <c r="C115" s="3">
        <v>404.71</v>
      </c>
      <c r="D115" s="3">
        <v>156.25</v>
      </c>
      <c r="E115" s="4">
        <f t="shared" si="3"/>
        <v>-2.7207595270537548E-2</v>
      </c>
      <c r="F115" s="4">
        <f t="shared" si="5"/>
        <v>9.746779644414014E-3</v>
      </c>
      <c r="G115" s="4">
        <f t="shared" si="4"/>
        <v>-3.6861246378598223E-2</v>
      </c>
    </row>
    <row r="116" spans="1:7">
      <c r="A116" s="2">
        <v>45539</v>
      </c>
      <c r="B116" s="3">
        <v>219.41</v>
      </c>
      <c r="C116" s="3">
        <v>404.17</v>
      </c>
      <c r="D116" s="3">
        <v>155.35</v>
      </c>
      <c r="E116" s="4">
        <f t="shared" si="3"/>
        <v>-8.6300379540936046E-3</v>
      </c>
      <c r="F116" s="4">
        <f t="shared" si="5"/>
        <v>-1.8456538610787773E-2</v>
      </c>
      <c r="G116" s="4">
        <f t="shared" si="4"/>
        <v>-5.7600000000000368E-3</v>
      </c>
    </row>
    <row r="117" spans="1:7">
      <c r="A117" s="2">
        <v>45540</v>
      </c>
      <c r="B117" s="3">
        <v>220.93</v>
      </c>
      <c r="C117" s="3">
        <v>403.67</v>
      </c>
      <c r="D117" s="3">
        <v>156.13</v>
      </c>
      <c r="E117" s="4">
        <f t="shared" si="3"/>
        <v>6.9276696595415447E-3</v>
      </c>
      <c r="F117" s="4">
        <f t="shared" si="5"/>
        <v>-1.3342887499690238E-3</v>
      </c>
      <c r="G117" s="4">
        <f t="shared" si="4"/>
        <v>5.0209205020920579E-3</v>
      </c>
    </row>
    <row r="118" spans="1:7">
      <c r="A118" s="2">
        <v>45541</v>
      </c>
      <c r="B118" s="3">
        <v>219.38</v>
      </c>
      <c r="C118" s="3">
        <v>397.06</v>
      </c>
      <c r="D118" s="3">
        <v>149.85</v>
      </c>
      <c r="E118" s="4">
        <f t="shared" si="3"/>
        <v>-7.0157968587335863E-3</v>
      </c>
      <c r="F118" s="4">
        <f t="shared" si="5"/>
        <v>-1.237103199148873E-3</v>
      </c>
      <c r="G118" s="4">
        <f t="shared" si="4"/>
        <v>-4.0222891180426573E-2</v>
      </c>
    </row>
    <row r="119" spans="1:7">
      <c r="A119" s="2">
        <v>45544</v>
      </c>
      <c r="B119" s="3">
        <v>219.47</v>
      </c>
      <c r="C119" s="3">
        <v>401.03</v>
      </c>
      <c r="D119" s="3">
        <v>147.86000000000001</v>
      </c>
      <c r="E119" s="4">
        <f t="shared" si="3"/>
        <v>4.1024705989608628E-4</v>
      </c>
      <c r="F119" s="4">
        <f t="shared" si="5"/>
        <v>-1.6374761562662606E-2</v>
      </c>
      <c r="G119" s="4">
        <f t="shared" si="4"/>
        <v>-1.3279946613279818E-2</v>
      </c>
    </row>
    <row r="120" spans="1:7">
      <c r="A120" s="2">
        <v>45545</v>
      </c>
      <c r="B120" s="3">
        <v>218.67</v>
      </c>
      <c r="C120" s="3">
        <v>409.41</v>
      </c>
      <c r="D120" s="3">
        <v>147.81</v>
      </c>
      <c r="E120" s="4">
        <f t="shared" si="3"/>
        <v>-3.645145122340235E-3</v>
      </c>
      <c r="F120" s="4">
        <f t="shared" si="5"/>
        <v>9.9984888933661673E-3</v>
      </c>
      <c r="G120" s="4">
        <f t="shared" si="4"/>
        <v>-3.3815771675917329E-4</v>
      </c>
    </row>
    <row r="121" spans="1:7">
      <c r="A121" s="2">
        <v>45546</v>
      </c>
      <c r="B121" s="3">
        <v>221.21</v>
      </c>
      <c r="C121" s="3">
        <v>418.15</v>
      </c>
      <c r="D121" s="3">
        <v>150.29</v>
      </c>
      <c r="E121" s="4">
        <f t="shared" si="3"/>
        <v>1.1615676590295974E-2</v>
      </c>
      <c r="F121" s="4">
        <f t="shared" si="5"/>
        <v>2.0896192304815233E-2</v>
      </c>
      <c r="G121" s="4">
        <f t="shared" si="4"/>
        <v>1.6778296461673701E-2</v>
      </c>
    </row>
    <row r="122" spans="1:7">
      <c r="A122" s="2">
        <v>45547</v>
      </c>
      <c r="B122" s="3">
        <v>221.32</v>
      </c>
      <c r="C122" s="3">
        <v>422.06</v>
      </c>
      <c r="D122" s="3">
        <v>153.80000000000001</v>
      </c>
      <c r="E122" s="4">
        <f t="shared" si="3"/>
        <v>4.9726504226746176E-4</v>
      </c>
      <c r="F122" s="4">
        <f t="shared" si="5"/>
        <v>2.1347793165775023E-2</v>
      </c>
      <c r="G122" s="4">
        <f t="shared" si="4"/>
        <v>2.3354847295229353E-2</v>
      </c>
    </row>
    <row r="123" spans="1:7">
      <c r="A123" s="2">
        <v>45548</v>
      </c>
      <c r="B123" s="3">
        <v>221.05</v>
      </c>
      <c r="C123" s="3">
        <v>425.61</v>
      </c>
      <c r="D123" s="3">
        <v>156.56</v>
      </c>
      <c r="E123" s="4">
        <f t="shared" si="3"/>
        <v>-1.2199530092173406E-3</v>
      </c>
      <c r="F123" s="4">
        <f t="shared" si="5"/>
        <v>9.3507114671769111E-3</v>
      </c>
      <c r="G123" s="4">
        <f t="shared" si="4"/>
        <v>1.7945383615084465E-2</v>
      </c>
    </row>
    <row r="124" spans="1:7">
      <c r="A124" s="2">
        <v>45551</v>
      </c>
      <c r="B124" s="3">
        <v>214.91</v>
      </c>
      <c r="C124" s="3">
        <v>426.35</v>
      </c>
      <c r="D124" s="3">
        <v>157.15</v>
      </c>
      <c r="E124" s="4">
        <f t="shared" si="3"/>
        <v>-2.7776521149061362E-2</v>
      </c>
      <c r="F124" s="4">
        <f t="shared" si="5"/>
        <v>8.4111263801355529E-3</v>
      </c>
      <c r="G124" s="4">
        <f t="shared" si="4"/>
        <v>3.768523249872275E-3</v>
      </c>
    </row>
    <row r="125" spans="1:7">
      <c r="A125" s="2">
        <v>45552</v>
      </c>
      <c r="B125" s="3">
        <v>215.38</v>
      </c>
      <c r="C125" s="3">
        <v>430.12</v>
      </c>
      <c r="D125" s="3">
        <v>158.41</v>
      </c>
      <c r="E125" s="4">
        <f t="shared" si="3"/>
        <v>2.1869619840863565E-3</v>
      </c>
      <c r="F125" s="4">
        <f t="shared" si="5"/>
        <v>1.7386809520453211E-3</v>
      </c>
      <c r="G125" s="4">
        <f t="shared" si="4"/>
        <v>8.0178173719375814E-3</v>
      </c>
    </row>
    <row r="126" spans="1:7">
      <c r="A126" s="2">
        <v>45553</v>
      </c>
      <c r="B126" s="3">
        <v>219.25</v>
      </c>
      <c r="C126" s="3">
        <v>425.83</v>
      </c>
      <c r="D126" s="3">
        <v>158.88999999999999</v>
      </c>
      <c r="E126" s="4">
        <f t="shared" si="3"/>
        <v>1.7968242176618091E-2</v>
      </c>
      <c r="F126" s="4">
        <f t="shared" si="5"/>
        <v>8.8425002931863065E-3</v>
      </c>
      <c r="G126" s="4">
        <f t="shared" si="4"/>
        <v>3.0301117353701773E-3</v>
      </c>
    </row>
    <row r="127" spans="1:7">
      <c r="A127" s="2">
        <v>45554</v>
      </c>
      <c r="B127" s="3">
        <v>227.38</v>
      </c>
      <c r="C127" s="3">
        <v>433.62</v>
      </c>
      <c r="D127" s="3">
        <v>161.21</v>
      </c>
      <c r="E127" s="4">
        <f t="shared" si="3"/>
        <v>3.7080957810718337E-2</v>
      </c>
      <c r="F127" s="4">
        <f t="shared" si="5"/>
        <v>-9.9739607551381487E-3</v>
      </c>
      <c r="G127" s="4">
        <f t="shared" si="4"/>
        <v>1.4601296494430246E-2</v>
      </c>
    </row>
    <row r="128" spans="1:7">
      <c r="A128" s="2">
        <v>45555</v>
      </c>
      <c r="B128" s="3">
        <v>226.71</v>
      </c>
      <c r="C128" s="3">
        <v>430.24</v>
      </c>
      <c r="D128" s="3">
        <v>162.65</v>
      </c>
      <c r="E128" s="4">
        <f t="shared" si="3"/>
        <v>-2.9466092004573293E-3</v>
      </c>
      <c r="F128" s="4">
        <f t="shared" si="5"/>
        <v>1.8293685273465986E-2</v>
      </c>
      <c r="G128" s="4">
        <f t="shared" si="4"/>
        <v>8.9324483592829081E-3</v>
      </c>
    </row>
    <row r="129" spans="1:7">
      <c r="A129" s="2">
        <v>45558</v>
      </c>
      <c r="B129" s="3">
        <v>224.99</v>
      </c>
      <c r="C129" s="3">
        <v>428.5</v>
      </c>
      <c r="D129" s="3">
        <v>160.91999999999999</v>
      </c>
      <c r="E129" s="4">
        <f t="shared" si="3"/>
        <v>-7.586784879361293E-3</v>
      </c>
      <c r="F129" s="4">
        <f t="shared" si="5"/>
        <v>-7.794843411281757E-3</v>
      </c>
      <c r="G129" s="4">
        <f t="shared" si="4"/>
        <v>-1.0636335690132297E-2</v>
      </c>
    </row>
    <row r="130" spans="1:7">
      <c r="A130" s="2">
        <v>45559</v>
      </c>
      <c r="B130" s="3">
        <v>225.89</v>
      </c>
      <c r="C130" s="3">
        <v>424.21</v>
      </c>
      <c r="D130" s="3">
        <v>161.36000000000001</v>
      </c>
      <c r="E130" s="4">
        <f t="shared" si="3"/>
        <v>4.0001777856792627E-3</v>
      </c>
      <c r="F130" s="4">
        <f t="shared" si="5"/>
        <v>-4.0442543696541672E-3</v>
      </c>
      <c r="G130" s="4">
        <f t="shared" si="4"/>
        <v>2.7342779020632997E-3</v>
      </c>
    </row>
    <row r="131" spans="1:7">
      <c r="A131" s="2">
        <v>45560</v>
      </c>
      <c r="B131" s="3">
        <v>224.89</v>
      </c>
      <c r="C131" s="3">
        <v>427.11</v>
      </c>
      <c r="D131" s="3">
        <v>160.56</v>
      </c>
      <c r="E131" s="4">
        <f t="shared" si="3"/>
        <v>-4.4269334631900489E-3</v>
      </c>
      <c r="F131" s="4">
        <f t="shared" si="5"/>
        <v>-1.0011668611435287E-2</v>
      </c>
      <c r="G131" s="4">
        <f t="shared" si="4"/>
        <v>-4.9578582052553994E-3</v>
      </c>
    </row>
    <row r="132" spans="1:7">
      <c r="A132" s="2">
        <v>45561</v>
      </c>
      <c r="B132" s="3">
        <v>226.04</v>
      </c>
      <c r="C132" s="3">
        <v>426.32</v>
      </c>
      <c r="D132" s="3">
        <v>161.80000000000001</v>
      </c>
      <c r="E132" s="4">
        <f t="shared" ref="E132:E195" si="6">(B132-B131)/B131</f>
        <v>5.1136110987594187E-3</v>
      </c>
      <c r="F132" s="4">
        <f t="shared" si="5"/>
        <v>6.8362367695246088E-3</v>
      </c>
      <c r="G132" s="4">
        <f t="shared" ref="G132:G195" si="7">(D132-D131)/D131</f>
        <v>7.722969606377735E-3</v>
      </c>
    </row>
    <row r="133" spans="1:7">
      <c r="A133" s="2">
        <v>45562</v>
      </c>
      <c r="B133" s="3">
        <v>226.3</v>
      </c>
      <c r="C133" s="3">
        <v>423.07</v>
      </c>
      <c r="D133" s="3">
        <v>163.01</v>
      </c>
      <c r="E133" s="4">
        <f t="shared" si="6"/>
        <v>1.1502388957707456E-3</v>
      </c>
      <c r="F133" s="4">
        <f t="shared" ref="F133:F196" si="8">(C132-C131)/C131</f>
        <v>-1.8496406078059994E-3</v>
      </c>
      <c r="G133" s="4">
        <f t="shared" si="7"/>
        <v>7.4783683559949288E-3</v>
      </c>
    </row>
    <row r="134" spans="1:7">
      <c r="A134" s="2">
        <v>45565</v>
      </c>
      <c r="B134" s="3">
        <v>231.48</v>
      </c>
      <c r="C134" s="3">
        <v>425.32</v>
      </c>
      <c r="D134" s="3">
        <v>164.9</v>
      </c>
      <c r="E134" s="4">
        <f t="shared" si="6"/>
        <v>2.2889969067609272E-2</v>
      </c>
      <c r="F134" s="4">
        <f t="shared" si="8"/>
        <v>-7.6233814974666922E-3</v>
      </c>
      <c r="G134" s="4">
        <f t="shared" si="7"/>
        <v>1.1594380712839794E-2</v>
      </c>
    </row>
    <row r="135" spans="1:7">
      <c r="A135" s="2">
        <v>45566</v>
      </c>
      <c r="B135" s="3">
        <v>224.73</v>
      </c>
      <c r="C135" s="3">
        <v>415.83</v>
      </c>
      <c r="D135" s="3">
        <v>166.03</v>
      </c>
      <c r="E135" s="4">
        <f t="shared" si="6"/>
        <v>-2.9160186625194401E-2</v>
      </c>
      <c r="F135" s="4">
        <f t="shared" si="8"/>
        <v>5.318268844399272E-3</v>
      </c>
      <c r="G135" s="4">
        <f t="shared" si="7"/>
        <v>6.8526379624014276E-3</v>
      </c>
    </row>
    <row r="136" spans="1:7">
      <c r="A136" s="2">
        <v>45567</v>
      </c>
      <c r="B136" s="3">
        <v>225.3</v>
      </c>
      <c r="C136" s="3">
        <v>412.31</v>
      </c>
      <c r="D136" s="3">
        <v>164.91</v>
      </c>
      <c r="E136" s="4">
        <f t="shared" si="6"/>
        <v>2.5363769857162889E-3</v>
      </c>
      <c r="F136" s="4">
        <f t="shared" si="8"/>
        <v>-2.2312611680616969E-2</v>
      </c>
      <c r="G136" s="4">
        <f t="shared" si="7"/>
        <v>-6.7457688369572041E-3</v>
      </c>
    </row>
    <row r="137" spans="1:7">
      <c r="A137" s="2">
        <v>45568</v>
      </c>
      <c r="B137" s="3">
        <v>224.2</v>
      </c>
      <c r="C137" s="3">
        <v>411.72</v>
      </c>
      <c r="D137" s="3">
        <v>164.91</v>
      </c>
      <c r="E137" s="4">
        <f t="shared" si="6"/>
        <v>-4.8823790501554493E-3</v>
      </c>
      <c r="F137" s="4">
        <f t="shared" si="8"/>
        <v>-8.4649977154125054E-3</v>
      </c>
      <c r="G137" s="4">
        <f t="shared" si="7"/>
        <v>0</v>
      </c>
    </row>
    <row r="138" spans="1:7">
      <c r="A138" s="2">
        <v>45569</v>
      </c>
      <c r="B138" s="3">
        <v>225.32</v>
      </c>
      <c r="C138" s="3">
        <v>411.25</v>
      </c>
      <c r="D138" s="3">
        <v>166.1</v>
      </c>
      <c r="E138" s="4">
        <f t="shared" si="6"/>
        <v>4.9955396966993963E-3</v>
      </c>
      <c r="F138" s="4">
        <f t="shared" si="8"/>
        <v>-1.4309621401372146E-3</v>
      </c>
      <c r="G138" s="4">
        <f t="shared" si="7"/>
        <v>7.2160572433448414E-3</v>
      </c>
    </row>
    <row r="139" spans="1:7">
      <c r="A139" s="2">
        <v>45572</v>
      </c>
      <c r="B139" s="3">
        <v>220.24</v>
      </c>
      <c r="C139" s="3">
        <v>404.8</v>
      </c>
      <c r="D139" s="3">
        <v>162.04</v>
      </c>
      <c r="E139" s="4">
        <f t="shared" si="6"/>
        <v>-2.2545712764068811E-2</v>
      </c>
      <c r="F139" s="4">
        <f t="shared" si="8"/>
        <v>-1.1415525114155914E-3</v>
      </c>
      <c r="G139" s="4">
        <f t="shared" si="7"/>
        <v>-2.4443106562311873E-2</v>
      </c>
    </row>
    <row r="140" spans="1:7">
      <c r="A140" s="2">
        <v>45573</v>
      </c>
      <c r="B140" s="3">
        <v>224.3</v>
      </c>
      <c r="C140" s="3">
        <v>409.92</v>
      </c>
      <c r="D140" s="3">
        <v>163.44</v>
      </c>
      <c r="E140" s="4">
        <f t="shared" si="6"/>
        <v>1.8434435161641855E-2</v>
      </c>
      <c r="F140" s="4">
        <f t="shared" si="8"/>
        <v>-1.5683890577507572E-2</v>
      </c>
      <c r="G140" s="4">
        <f t="shared" si="7"/>
        <v>8.6398420143174882E-3</v>
      </c>
    </row>
    <row r="141" spans="1:7">
      <c r="A141" s="2">
        <v>45574</v>
      </c>
      <c r="B141" s="3">
        <v>228.04</v>
      </c>
      <c r="C141" s="3">
        <v>412.63</v>
      </c>
      <c r="D141" s="3">
        <v>160.93</v>
      </c>
      <c r="E141" s="4">
        <f t="shared" si="6"/>
        <v>1.6674097191261616E-2</v>
      </c>
      <c r="F141" s="4">
        <f t="shared" si="8"/>
        <v>1.2648221343873528E-2</v>
      </c>
      <c r="G141" s="4">
        <f t="shared" si="7"/>
        <v>-1.5357317670092945E-2</v>
      </c>
    </row>
    <row r="142" spans="1:7">
      <c r="A142" s="2">
        <v>45575</v>
      </c>
      <c r="B142" s="3">
        <v>227.55</v>
      </c>
      <c r="C142" s="3">
        <v>411.03</v>
      </c>
      <c r="D142" s="3">
        <v>161.15</v>
      </c>
      <c r="E142" s="4">
        <f t="shared" si="6"/>
        <v>-2.1487458340641147E-3</v>
      </c>
      <c r="F142" s="4">
        <f t="shared" si="8"/>
        <v>6.6110460577673193E-3</v>
      </c>
      <c r="G142" s="4">
        <f t="shared" si="7"/>
        <v>1.3670539986329389E-3</v>
      </c>
    </row>
    <row r="143" spans="1:7">
      <c r="A143" s="2">
        <v>45576</v>
      </c>
      <c r="B143" s="3">
        <v>226.06</v>
      </c>
      <c r="C143" s="3">
        <v>411.51</v>
      </c>
      <c r="D143" s="3">
        <v>162.30000000000001</v>
      </c>
      <c r="E143" s="4">
        <f t="shared" si="6"/>
        <v>-6.5480114260602464E-3</v>
      </c>
      <c r="F143" s="4">
        <f t="shared" si="8"/>
        <v>-3.8775658580326752E-3</v>
      </c>
      <c r="G143" s="4">
        <f t="shared" si="7"/>
        <v>7.1362085013962498E-3</v>
      </c>
    </row>
    <row r="144" spans="1:7">
      <c r="A144" s="2">
        <v>45579</v>
      </c>
      <c r="B144" s="3">
        <v>229.79</v>
      </c>
      <c r="C144" s="3">
        <v>414.29</v>
      </c>
      <c r="D144" s="3">
        <v>164.01</v>
      </c>
      <c r="E144" s="4">
        <f t="shared" si="6"/>
        <v>1.6500044236043482E-2</v>
      </c>
      <c r="F144" s="4">
        <f t="shared" si="8"/>
        <v>1.1677979709510699E-3</v>
      </c>
      <c r="G144" s="4">
        <f t="shared" si="7"/>
        <v>1.0536044362291925E-2</v>
      </c>
    </row>
    <row r="145" spans="1:7">
      <c r="A145" s="2">
        <v>45580</v>
      </c>
      <c r="B145" s="3">
        <v>232.32</v>
      </c>
      <c r="C145" s="3">
        <v>413.9</v>
      </c>
      <c r="D145" s="3">
        <v>164.51</v>
      </c>
      <c r="E145" s="4">
        <f t="shared" si="6"/>
        <v>1.1010052656773581E-2</v>
      </c>
      <c r="F145" s="4">
        <f t="shared" si="8"/>
        <v>6.7556073971471644E-3</v>
      </c>
      <c r="G145" s="4">
        <f t="shared" si="7"/>
        <v>3.0485945978903726E-3</v>
      </c>
    </row>
    <row r="146" spans="1:7">
      <c r="A146" s="2">
        <v>45581</v>
      </c>
      <c r="B146" s="3">
        <v>230.27</v>
      </c>
      <c r="C146" s="3">
        <v>411.31</v>
      </c>
      <c r="D146" s="3">
        <v>164.21</v>
      </c>
      <c r="E146" s="4">
        <f t="shared" si="6"/>
        <v>-8.8240358126721024E-3</v>
      </c>
      <c r="F146" s="4">
        <f t="shared" si="8"/>
        <v>-9.413695720390142E-4</v>
      </c>
      <c r="G146" s="4">
        <f t="shared" si="7"/>
        <v>-1.8235973497050815E-3</v>
      </c>
    </row>
    <row r="147" spans="1:7">
      <c r="A147" s="2">
        <v>45582</v>
      </c>
      <c r="B147" s="3">
        <v>230.63</v>
      </c>
      <c r="C147" s="3">
        <v>411.9</v>
      </c>
      <c r="D147" s="3">
        <v>161.99</v>
      </c>
      <c r="E147" s="4">
        <f t="shared" si="6"/>
        <v>1.5633821166456125E-3</v>
      </c>
      <c r="F147" s="4">
        <f t="shared" si="8"/>
        <v>-6.2575501328822787E-3</v>
      </c>
      <c r="G147" s="4">
        <f t="shared" si="7"/>
        <v>-1.3519274100237493E-2</v>
      </c>
    </row>
    <row r="148" spans="1:7">
      <c r="A148" s="2">
        <v>45583</v>
      </c>
      <c r="B148" s="3">
        <v>233.47</v>
      </c>
      <c r="C148" s="3">
        <v>413.33</v>
      </c>
      <c r="D148" s="3">
        <v>162.47999999999999</v>
      </c>
      <c r="E148" s="4">
        <f t="shared" si="6"/>
        <v>1.2314096171356734E-2</v>
      </c>
      <c r="F148" s="4">
        <f t="shared" si="8"/>
        <v>1.4344411757554521E-3</v>
      </c>
      <c r="G148" s="4">
        <f t="shared" si="7"/>
        <v>3.0248780788936394E-3</v>
      </c>
    </row>
    <row r="149" spans="1:7">
      <c r="A149" s="2">
        <v>45586</v>
      </c>
      <c r="B149" s="3">
        <v>234.94</v>
      </c>
      <c r="C149" s="3">
        <v>413.94</v>
      </c>
      <c r="D149" s="3">
        <v>163.13</v>
      </c>
      <c r="E149" s="4">
        <f t="shared" si="6"/>
        <v>6.2963121600205542E-3</v>
      </c>
      <c r="F149" s="4">
        <f t="shared" si="8"/>
        <v>3.471716436028179E-3</v>
      </c>
      <c r="G149" s="4">
        <f t="shared" si="7"/>
        <v>4.0004923682915175E-3</v>
      </c>
    </row>
    <row r="150" spans="1:7">
      <c r="A150" s="2">
        <v>45587</v>
      </c>
      <c r="B150" s="3">
        <v>234.32</v>
      </c>
      <c r="C150" s="3">
        <v>422.57</v>
      </c>
      <c r="D150" s="3">
        <v>164.19</v>
      </c>
      <c r="E150" s="4">
        <f t="shared" si="6"/>
        <v>-2.6389716523367861E-3</v>
      </c>
      <c r="F150" s="4">
        <f t="shared" si="8"/>
        <v>1.4758183533738506E-3</v>
      </c>
      <c r="G150" s="4">
        <f t="shared" si="7"/>
        <v>6.497885122295116E-3</v>
      </c>
    </row>
    <row r="151" spans="1:7">
      <c r="A151" s="2">
        <v>45588</v>
      </c>
      <c r="B151" s="3">
        <v>229.25</v>
      </c>
      <c r="C151" s="3">
        <v>419.69</v>
      </c>
      <c r="D151" s="3">
        <v>161.85</v>
      </c>
      <c r="E151" s="4">
        <f t="shared" si="6"/>
        <v>-2.1637077500853506E-2</v>
      </c>
      <c r="F151" s="4">
        <f t="shared" si="8"/>
        <v>2.0848432139923649E-2</v>
      </c>
      <c r="G151" s="4">
        <f t="shared" si="7"/>
        <v>-1.4251781472684107E-2</v>
      </c>
    </row>
    <row r="152" spans="1:7">
      <c r="A152" s="2">
        <v>45589</v>
      </c>
      <c r="B152" s="3">
        <v>229.07</v>
      </c>
      <c r="C152" s="3">
        <v>419.82</v>
      </c>
      <c r="D152" s="3">
        <v>161.79</v>
      </c>
      <c r="E152" s="4">
        <f t="shared" si="6"/>
        <v>-7.8516902944386841E-4</v>
      </c>
      <c r="F152" s="4">
        <f t="shared" si="8"/>
        <v>-6.8154388622003346E-3</v>
      </c>
      <c r="G152" s="4">
        <f t="shared" si="7"/>
        <v>-3.7071362372568595E-4</v>
      </c>
    </row>
    <row r="153" spans="1:7">
      <c r="A153" s="2">
        <v>45590</v>
      </c>
      <c r="B153" s="3">
        <v>229.9</v>
      </c>
      <c r="C153" s="3">
        <v>423.2</v>
      </c>
      <c r="D153" s="3">
        <v>164.32</v>
      </c>
      <c r="E153" s="4">
        <f t="shared" si="6"/>
        <v>3.6233465752827194E-3</v>
      </c>
      <c r="F153" s="4">
        <f t="shared" si="8"/>
        <v>3.0975243632203639E-4</v>
      </c>
      <c r="G153" s="4">
        <f t="shared" si="7"/>
        <v>1.5637554855059035E-2</v>
      </c>
    </row>
    <row r="154" spans="1:7">
      <c r="A154" s="2">
        <v>45593</v>
      </c>
      <c r="B154" s="3">
        <v>231.88</v>
      </c>
      <c r="C154" s="3">
        <v>421.66</v>
      </c>
      <c r="D154" s="3">
        <v>165.76</v>
      </c>
      <c r="E154" s="4">
        <f t="shared" si="6"/>
        <v>8.6124401913875159E-3</v>
      </c>
      <c r="F154" s="4">
        <f t="shared" si="8"/>
        <v>8.0510695059787425E-3</v>
      </c>
      <c r="G154" s="4">
        <f t="shared" si="7"/>
        <v>8.7633885102239399E-3</v>
      </c>
    </row>
    <row r="155" spans="1:7">
      <c r="A155" s="2">
        <v>45594</v>
      </c>
      <c r="B155" s="3">
        <v>232.15</v>
      </c>
      <c r="C155" s="3">
        <v>426.96</v>
      </c>
      <c r="D155" s="3">
        <v>168.71</v>
      </c>
      <c r="E155" s="4">
        <f t="shared" si="6"/>
        <v>1.1643953769191401E-3</v>
      </c>
      <c r="F155" s="4">
        <f t="shared" si="8"/>
        <v>-3.6389413988656984E-3</v>
      </c>
      <c r="G155" s="4">
        <f t="shared" si="7"/>
        <v>1.7796814671814775E-2</v>
      </c>
    </row>
    <row r="156" spans="1:7">
      <c r="A156" s="2">
        <v>45595</v>
      </c>
      <c r="B156" s="3">
        <v>228.6</v>
      </c>
      <c r="C156" s="3">
        <v>427.53</v>
      </c>
      <c r="D156" s="3">
        <v>173.46</v>
      </c>
      <c r="E156" s="4">
        <f t="shared" si="6"/>
        <v>-1.5291837174240841E-2</v>
      </c>
      <c r="F156" s="4">
        <f t="shared" si="8"/>
        <v>1.2569368685670811E-2</v>
      </c>
      <c r="G156" s="4">
        <f t="shared" si="7"/>
        <v>2.8154821883705765E-2</v>
      </c>
    </row>
    <row r="157" spans="1:7">
      <c r="A157" s="2">
        <v>45596</v>
      </c>
      <c r="B157" s="3">
        <v>224.44</v>
      </c>
      <c r="C157" s="3">
        <v>401.65</v>
      </c>
      <c r="D157" s="3">
        <v>170.13</v>
      </c>
      <c r="E157" s="4">
        <f t="shared" si="6"/>
        <v>-1.8197725284339442E-2</v>
      </c>
      <c r="F157" s="4">
        <f t="shared" si="8"/>
        <v>1.3350196739741269E-3</v>
      </c>
      <c r="G157" s="4">
        <f t="shared" si="7"/>
        <v>-1.9197509512279561E-2</v>
      </c>
    </row>
    <row r="158" spans="1:7">
      <c r="A158" s="2">
        <v>45597</v>
      </c>
      <c r="B158" s="3">
        <v>221.46</v>
      </c>
      <c r="C158" s="3">
        <v>405.63</v>
      </c>
      <c r="D158" s="3">
        <v>170.31</v>
      </c>
      <c r="E158" s="4">
        <f t="shared" si="6"/>
        <v>-1.3277490643379032E-2</v>
      </c>
      <c r="F158" s="4">
        <f t="shared" si="8"/>
        <v>-6.0533763712488003E-2</v>
      </c>
      <c r="G158" s="4">
        <f t="shared" si="7"/>
        <v>1.058014459530987E-3</v>
      </c>
    </row>
    <row r="159" spans="1:7">
      <c r="A159" s="2">
        <v>45600</v>
      </c>
      <c r="B159" s="3">
        <v>220.56</v>
      </c>
      <c r="C159" s="3">
        <v>403.74</v>
      </c>
      <c r="D159" s="3">
        <v>168.27</v>
      </c>
      <c r="E159" s="4">
        <f t="shared" si="6"/>
        <v>-4.0639393118396356E-3</v>
      </c>
      <c r="F159" s="4">
        <f t="shared" si="8"/>
        <v>9.909124859952741E-3</v>
      </c>
      <c r="G159" s="4">
        <f t="shared" si="7"/>
        <v>-1.1978157477540908E-2</v>
      </c>
    </row>
    <row r="160" spans="1:7">
      <c r="A160" s="2">
        <v>45601</v>
      </c>
      <c r="B160" s="3">
        <v>221.99</v>
      </c>
      <c r="C160" s="3">
        <v>406.7</v>
      </c>
      <c r="D160" s="3">
        <v>168.77</v>
      </c>
      <c r="E160" s="4">
        <f t="shared" si="6"/>
        <v>6.4834965542256385E-3</v>
      </c>
      <c r="F160" s="4">
        <f t="shared" si="8"/>
        <v>-4.6594186820501102E-3</v>
      </c>
      <c r="G160" s="4">
        <f t="shared" si="7"/>
        <v>2.9714149878171982E-3</v>
      </c>
    </row>
    <row r="161" spans="1:7">
      <c r="A161" s="2">
        <v>45602</v>
      </c>
      <c r="B161" s="3">
        <v>221.27</v>
      </c>
      <c r="C161" s="3">
        <v>415.32</v>
      </c>
      <c r="D161" s="3">
        <v>175.5</v>
      </c>
      <c r="E161" s="4">
        <f t="shared" si="6"/>
        <v>-3.2433893418622409E-3</v>
      </c>
      <c r="F161" s="4">
        <f t="shared" si="8"/>
        <v>7.3314509337692067E-3</v>
      </c>
      <c r="G161" s="4">
        <f t="shared" si="7"/>
        <v>3.9876755347514309E-2</v>
      </c>
    </row>
    <row r="162" spans="1:7">
      <c r="A162" s="2">
        <v>45603</v>
      </c>
      <c r="B162" s="3">
        <v>226</v>
      </c>
      <c r="C162" s="3">
        <v>420.51</v>
      </c>
      <c r="D162" s="3">
        <v>179.71</v>
      </c>
      <c r="E162" s="4">
        <f t="shared" si="6"/>
        <v>2.1376598725538886E-2</v>
      </c>
      <c r="F162" s="4">
        <f t="shared" si="8"/>
        <v>2.1194984017703478E-2</v>
      </c>
      <c r="G162" s="4">
        <f t="shared" si="7"/>
        <v>2.3988603988604033E-2</v>
      </c>
    </row>
    <row r="163" spans="1:7">
      <c r="A163" s="2">
        <v>45604</v>
      </c>
      <c r="B163" s="3">
        <v>225.73</v>
      </c>
      <c r="C163" s="3">
        <v>417.65</v>
      </c>
      <c r="D163" s="3">
        <v>177.33</v>
      </c>
      <c r="E163" s="4">
        <f t="shared" si="6"/>
        <v>-1.194690265486771E-3</v>
      </c>
      <c r="F163" s="4">
        <f t="shared" si="8"/>
        <v>1.2496388327073095E-2</v>
      </c>
      <c r="G163" s="4">
        <f t="shared" si="7"/>
        <v>-1.3243559067386319E-2</v>
      </c>
    </row>
    <row r="164" spans="1:7">
      <c r="A164" s="2">
        <v>45607</v>
      </c>
      <c r="B164" s="3">
        <v>223.01</v>
      </c>
      <c r="C164" s="3">
        <v>413.18</v>
      </c>
      <c r="D164" s="3">
        <v>179.31</v>
      </c>
      <c r="E164" s="4">
        <f t="shared" si="6"/>
        <v>-1.2049794001683423E-2</v>
      </c>
      <c r="F164" s="4">
        <f t="shared" si="8"/>
        <v>-6.8012651304368834E-3</v>
      </c>
      <c r="G164" s="4">
        <f t="shared" si="7"/>
        <v>1.1165623413973888E-2</v>
      </c>
    </row>
    <row r="165" spans="1:7">
      <c r="A165" s="2">
        <v>45608</v>
      </c>
      <c r="B165" s="3">
        <v>223.01</v>
      </c>
      <c r="C165" s="3">
        <v>418.14</v>
      </c>
      <c r="D165" s="3">
        <v>180.58</v>
      </c>
      <c r="E165" s="4">
        <f t="shared" si="6"/>
        <v>0</v>
      </c>
      <c r="F165" s="4">
        <f t="shared" si="8"/>
        <v>-1.0702741529989155E-2</v>
      </c>
      <c r="G165" s="4">
        <f t="shared" si="7"/>
        <v>7.0827059282806883E-3</v>
      </c>
    </row>
    <row r="166" spans="1:7">
      <c r="A166" s="2">
        <v>45609</v>
      </c>
      <c r="B166" s="3">
        <v>223.9</v>
      </c>
      <c r="C166" s="3">
        <v>420.28</v>
      </c>
      <c r="D166" s="3">
        <v>177.85</v>
      </c>
      <c r="E166" s="4">
        <f t="shared" si="6"/>
        <v>3.9908524281423025E-3</v>
      </c>
      <c r="F166" s="4">
        <f t="shared" si="8"/>
        <v>1.2004453264920808E-2</v>
      </c>
      <c r="G166" s="4">
        <f t="shared" si="7"/>
        <v>-1.511795326171236E-2</v>
      </c>
    </row>
    <row r="167" spans="1:7">
      <c r="A167" s="2">
        <v>45610</v>
      </c>
      <c r="B167" s="3">
        <v>226.98</v>
      </c>
      <c r="C167" s="3">
        <v>421.95</v>
      </c>
      <c r="D167" s="3">
        <v>174.57</v>
      </c>
      <c r="E167" s="4">
        <f t="shared" si="6"/>
        <v>1.3756141134434944E-2</v>
      </c>
      <c r="F167" s="4">
        <f t="shared" si="8"/>
        <v>5.1179030946572595E-3</v>
      </c>
      <c r="G167" s="4">
        <f t="shared" si="7"/>
        <v>-1.8442507731234192E-2</v>
      </c>
    </row>
    <row r="168" spans="1:7">
      <c r="A168" s="2">
        <v>45611</v>
      </c>
      <c r="B168" s="3">
        <v>223.78</v>
      </c>
      <c r="C168" s="3">
        <v>410.2</v>
      </c>
      <c r="D168" s="3">
        <v>171.5</v>
      </c>
      <c r="E168" s="4">
        <f t="shared" si="6"/>
        <v>-1.4098158428055285E-2</v>
      </c>
      <c r="F168" s="4">
        <f t="shared" si="8"/>
        <v>3.9735414485581426E-3</v>
      </c>
      <c r="G168" s="4">
        <f t="shared" si="7"/>
        <v>-1.758606862576613E-2</v>
      </c>
    </row>
    <row r="169" spans="1:7">
      <c r="A169" s="2">
        <v>45614</v>
      </c>
      <c r="B169" s="3">
        <v>226.78</v>
      </c>
      <c r="C169" s="3">
        <v>410.95</v>
      </c>
      <c r="D169" s="3">
        <v>174.29</v>
      </c>
      <c r="E169" s="4">
        <f t="shared" si="6"/>
        <v>1.3406023773348826E-2</v>
      </c>
      <c r="F169" s="4">
        <f t="shared" si="8"/>
        <v>-2.784690129162223E-2</v>
      </c>
      <c r="G169" s="4">
        <f t="shared" si="7"/>
        <v>1.6268221574343978E-2</v>
      </c>
    </row>
    <row r="170" spans="1:7">
      <c r="A170" s="2">
        <v>45615</v>
      </c>
      <c r="B170" s="3">
        <v>227.04</v>
      </c>
      <c r="C170" s="3">
        <v>412.96</v>
      </c>
      <c r="D170" s="3">
        <v>177.1</v>
      </c>
      <c r="E170" s="4">
        <f t="shared" si="6"/>
        <v>1.1464855807390021E-3</v>
      </c>
      <c r="F170" s="4">
        <f t="shared" si="8"/>
        <v>1.8283764017552413E-3</v>
      </c>
      <c r="G170" s="4">
        <f t="shared" si="7"/>
        <v>1.6122554363417307E-2</v>
      </c>
    </row>
    <row r="171" spans="1:7">
      <c r="A171" s="2">
        <v>45616</v>
      </c>
      <c r="B171" s="3">
        <v>227.76</v>
      </c>
      <c r="C171" s="3">
        <v>410.69</v>
      </c>
      <c r="D171" s="3">
        <v>174.97</v>
      </c>
      <c r="E171" s="4">
        <f t="shared" si="6"/>
        <v>3.1712473572938641E-3</v>
      </c>
      <c r="F171" s="4">
        <f t="shared" si="8"/>
        <v>4.891105973962747E-3</v>
      </c>
      <c r="G171" s="4">
        <f t="shared" si="7"/>
        <v>-1.2027103331451133E-2</v>
      </c>
    </row>
    <row r="172" spans="1:7">
      <c r="A172" s="2">
        <v>45617</v>
      </c>
      <c r="B172" s="3">
        <v>227.28</v>
      </c>
      <c r="C172" s="3">
        <v>408.91</v>
      </c>
      <c r="D172" s="3">
        <v>166.67</v>
      </c>
      <c r="E172" s="4">
        <f t="shared" si="6"/>
        <v>-2.1074815595363092E-3</v>
      </c>
      <c r="F172" s="4">
        <f t="shared" si="8"/>
        <v>-5.4969004261913547E-3</v>
      </c>
      <c r="G172" s="4">
        <f t="shared" si="7"/>
        <v>-4.7436703434874612E-2</v>
      </c>
    </row>
    <row r="173" spans="1:7">
      <c r="A173" s="2">
        <v>45618</v>
      </c>
      <c r="B173" s="3">
        <v>228.62</v>
      </c>
      <c r="C173" s="3">
        <v>413</v>
      </c>
      <c r="D173" s="3">
        <v>163.81</v>
      </c>
      <c r="E173" s="4">
        <f t="shared" si="6"/>
        <v>5.8958113340373255E-3</v>
      </c>
      <c r="F173" s="4">
        <f t="shared" si="8"/>
        <v>-4.3341693247947915E-3</v>
      </c>
      <c r="G173" s="4">
        <f t="shared" si="7"/>
        <v>-1.7159656806863776E-2</v>
      </c>
    </row>
    <row r="174" spans="1:7">
      <c r="A174" s="2">
        <v>45621</v>
      </c>
      <c r="B174" s="3">
        <v>231.6</v>
      </c>
      <c r="C174" s="3">
        <v>414.78</v>
      </c>
      <c r="D174" s="3">
        <v>166.69</v>
      </c>
      <c r="E174" s="4">
        <f t="shared" si="6"/>
        <v>1.3034730119849488E-2</v>
      </c>
      <c r="F174" s="4">
        <f t="shared" si="8"/>
        <v>1.0002200973319251E-2</v>
      </c>
      <c r="G174" s="4">
        <f t="shared" si="7"/>
        <v>1.7581344240278345E-2</v>
      </c>
    </row>
    <row r="175" spans="1:7">
      <c r="A175" s="2">
        <v>45622</v>
      </c>
      <c r="B175" s="3">
        <v>233.78</v>
      </c>
      <c r="C175" s="3">
        <v>423.89</v>
      </c>
      <c r="D175" s="3">
        <v>168.15</v>
      </c>
      <c r="E175" s="4">
        <f t="shared" si="6"/>
        <v>9.4127806563040015E-3</v>
      </c>
      <c r="F175" s="4">
        <f t="shared" si="8"/>
        <v>4.3099273607747519E-3</v>
      </c>
      <c r="G175" s="4">
        <f t="shared" si="7"/>
        <v>8.7587737716720137E-3</v>
      </c>
    </row>
    <row r="176" spans="1:7">
      <c r="A176" s="2">
        <v>45623</v>
      </c>
      <c r="B176" s="3">
        <v>233.65</v>
      </c>
      <c r="C176" s="3">
        <v>418.94</v>
      </c>
      <c r="D176" s="3">
        <v>168.26</v>
      </c>
      <c r="E176" s="4">
        <f t="shared" si="6"/>
        <v>-5.5607836427408442E-4</v>
      </c>
      <c r="F176" s="4">
        <f t="shared" si="8"/>
        <v>2.1963450503881609E-2</v>
      </c>
      <c r="G176" s="4">
        <f t="shared" si="7"/>
        <v>6.5417781742483033E-4</v>
      </c>
    </row>
    <row r="177" spans="1:7">
      <c r="A177" s="2">
        <v>45625</v>
      </c>
      <c r="B177" s="3">
        <v>236.04</v>
      </c>
      <c r="C177" s="3">
        <v>419.4</v>
      </c>
      <c r="D177" s="3">
        <v>167.98</v>
      </c>
      <c r="E177" s="4">
        <f t="shared" si="6"/>
        <v>1.0228974962550765E-2</v>
      </c>
      <c r="F177" s="4">
        <f t="shared" si="8"/>
        <v>-1.1677557856991174E-2</v>
      </c>
      <c r="G177" s="4">
        <f t="shared" si="7"/>
        <v>-1.6640912872934812E-3</v>
      </c>
    </row>
    <row r="178" spans="1:7">
      <c r="A178" s="2">
        <v>45628</v>
      </c>
      <c r="B178" s="3">
        <v>238.29</v>
      </c>
      <c r="C178" s="3">
        <v>426.85</v>
      </c>
      <c r="D178" s="3">
        <v>170.51</v>
      </c>
      <c r="E178" s="4">
        <f t="shared" si="6"/>
        <v>9.5322826639552619E-3</v>
      </c>
      <c r="F178" s="4">
        <f t="shared" si="8"/>
        <v>1.098009261469374E-3</v>
      </c>
      <c r="G178" s="4">
        <f t="shared" si="7"/>
        <v>1.5061316823431368E-2</v>
      </c>
    </row>
    <row r="179" spans="1:7">
      <c r="A179" s="2">
        <v>45629</v>
      </c>
      <c r="B179" s="3">
        <v>241.33</v>
      </c>
      <c r="C179" s="3">
        <v>427.07</v>
      </c>
      <c r="D179" s="3">
        <v>170.36</v>
      </c>
      <c r="E179" s="4">
        <f t="shared" si="6"/>
        <v>1.275756431239255E-2</v>
      </c>
      <c r="F179" s="4">
        <f t="shared" si="8"/>
        <v>1.776347162613268E-2</v>
      </c>
      <c r="G179" s="4">
        <f t="shared" si="7"/>
        <v>-8.7971379977700586E-4</v>
      </c>
    </row>
    <row r="180" spans="1:7">
      <c r="A180" s="2">
        <v>45630</v>
      </c>
      <c r="B180" s="3">
        <v>241.69</v>
      </c>
      <c r="C180" s="3">
        <v>433.23</v>
      </c>
      <c r="D180" s="3">
        <v>173.37</v>
      </c>
      <c r="E180" s="4">
        <f t="shared" si="6"/>
        <v>1.4917333112335193E-3</v>
      </c>
      <c r="F180" s="4">
        <f t="shared" si="8"/>
        <v>5.1540353754239297E-4</v>
      </c>
      <c r="G180" s="4">
        <f t="shared" si="7"/>
        <v>1.7668466776238498E-2</v>
      </c>
    </row>
    <row r="181" spans="1:7">
      <c r="A181" s="2">
        <v>45631</v>
      </c>
      <c r="B181" s="3">
        <v>241.72</v>
      </c>
      <c r="C181" s="3">
        <v>438.38</v>
      </c>
      <c r="D181" s="3">
        <v>171.65</v>
      </c>
      <c r="E181" s="4">
        <f t="shared" si="6"/>
        <v>1.2412594646034648E-4</v>
      </c>
      <c r="F181" s="4">
        <f t="shared" si="8"/>
        <v>1.4423864940173801E-2</v>
      </c>
      <c r="G181" s="4">
        <f t="shared" si="7"/>
        <v>-9.9209782545999822E-3</v>
      </c>
    </row>
    <row r="182" spans="1:7">
      <c r="A182" s="2">
        <v>45632</v>
      </c>
      <c r="B182" s="3">
        <v>241.52</v>
      </c>
      <c r="C182" s="3">
        <v>439.32</v>
      </c>
      <c r="D182" s="3">
        <v>173.71</v>
      </c>
      <c r="E182" s="4">
        <f t="shared" si="6"/>
        <v>-8.2740360747968157E-4</v>
      </c>
      <c r="F182" s="4">
        <f t="shared" si="8"/>
        <v>1.1887450084250807E-2</v>
      </c>
      <c r="G182" s="4">
        <f t="shared" si="7"/>
        <v>1.2001165161666194E-2</v>
      </c>
    </row>
    <row r="183" spans="1:7">
      <c r="A183" s="2">
        <v>45635</v>
      </c>
      <c r="B183" s="3">
        <v>245.41</v>
      </c>
      <c r="C183" s="3">
        <v>441.75</v>
      </c>
      <c r="D183" s="3">
        <v>174.56</v>
      </c>
      <c r="E183" s="4">
        <f t="shared" si="6"/>
        <v>1.6106326598211269E-2</v>
      </c>
      <c r="F183" s="4">
        <f t="shared" si="8"/>
        <v>2.1442584059491714E-3</v>
      </c>
      <c r="G183" s="4">
        <f t="shared" si="7"/>
        <v>4.8932128259742916E-3</v>
      </c>
    </row>
    <row r="184" spans="1:7">
      <c r="A184" s="2">
        <v>45636</v>
      </c>
      <c r="B184" s="3">
        <v>246.42</v>
      </c>
      <c r="C184" s="3">
        <v>439.08</v>
      </c>
      <c r="D184" s="3">
        <v>184.32</v>
      </c>
      <c r="E184" s="4">
        <f t="shared" si="6"/>
        <v>4.1155617130515911E-3</v>
      </c>
      <c r="F184" s="4">
        <f t="shared" si="8"/>
        <v>5.5312756077574585E-3</v>
      </c>
      <c r="G184" s="4">
        <f t="shared" si="7"/>
        <v>5.5912007332722218E-2</v>
      </c>
    </row>
    <row r="185" spans="1:7">
      <c r="A185" s="2">
        <v>45637</v>
      </c>
      <c r="B185" s="3">
        <v>245.15</v>
      </c>
      <c r="C185" s="3">
        <v>444.69</v>
      </c>
      <c r="D185" s="3">
        <v>194.5</v>
      </c>
      <c r="E185" s="4">
        <f t="shared" si="6"/>
        <v>-5.1538024510996748E-3</v>
      </c>
      <c r="F185" s="4">
        <f t="shared" si="8"/>
        <v>-6.0441426146010547E-3</v>
      </c>
      <c r="G185" s="4">
        <f t="shared" si="7"/>
        <v>5.5230034722222258E-2</v>
      </c>
    </row>
    <row r="186" spans="1:7">
      <c r="A186" s="2">
        <v>45638</v>
      </c>
      <c r="B186" s="3">
        <v>246.61</v>
      </c>
      <c r="C186" s="3">
        <v>445.25</v>
      </c>
      <c r="D186" s="3">
        <v>191.08</v>
      </c>
      <c r="E186" s="4">
        <f t="shared" si="6"/>
        <v>5.9555374260657065E-3</v>
      </c>
      <c r="F186" s="4">
        <f t="shared" si="8"/>
        <v>1.277671494943977E-2</v>
      </c>
      <c r="G186" s="4">
        <f t="shared" si="7"/>
        <v>-1.7583547557840553E-2</v>
      </c>
    </row>
    <row r="187" spans="1:7">
      <c r="A187" s="2">
        <v>45639</v>
      </c>
      <c r="B187" s="3">
        <v>246.78</v>
      </c>
      <c r="C187" s="3">
        <v>442.98</v>
      </c>
      <c r="D187" s="3">
        <v>188.95</v>
      </c>
      <c r="E187" s="4">
        <f t="shared" si="6"/>
        <v>6.8934755281613671E-4</v>
      </c>
      <c r="F187" s="4">
        <f t="shared" si="8"/>
        <v>1.2593042344104933E-3</v>
      </c>
      <c r="G187" s="4">
        <f t="shared" si="7"/>
        <v>-1.1147163491731336E-2</v>
      </c>
    </row>
    <row r="188" spans="1:7">
      <c r="A188" s="2">
        <v>45642</v>
      </c>
      <c r="B188" s="3">
        <v>249.68</v>
      </c>
      <c r="C188" s="3">
        <v>447.26</v>
      </c>
      <c r="D188" s="3">
        <v>195.76</v>
      </c>
      <c r="E188" s="4">
        <f t="shared" si="6"/>
        <v>1.1751357484399082E-2</v>
      </c>
      <c r="F188" s="4">
        <f t="shared" si="8"/>
        <v>-5.098259404828707E-3</v>
      </c>
      <c r="G188" s="4">
        <f t="shared" si="7"/>
        <v>3.6041280762106394E-2</v>
      </c>
    </row>
    <row r="189" spans="1:7">
      <c r="A189" s="2">
        <v>45643</v>
      </c>
      <c r="B189" s="3">
        <v>252.1</v>
      </c>
      <c r="C189" s="3">
        <v>450.1</v>
      </c>
      <c r="D189" s="3">
        <v>194.52</v>
      </c>
      <c r="E189" s="4">
        <f t="shared" si="6"/>
        <v>9.6924062800383994E-3</v>
      </c>
      <c r="F189" s="4">
        <f t="shared" si="8"/>
        <v>9.6618357487922094E-3</v>
      </c>
      <c r="G189" s="4">
        <f t="shared" si="7"/>
        <v>-6.334286881896101E-3</v>
      </c>
    </row>
    <row r="190" spans="1:7">
      <c r="A190" s="2">
        <v>45644</v>
      </c>
      <c r="B190" s="3">
        <v>246.7</v>
      </c>
      <c r="C190" s="3">
        <v>433.2</v>
      </c>
      <c r="D190" s="3">
        <v>187.53</v>
      </c>
      <c r="E190" s="4">
        <f t="shared" si="6"/>
        <v>-2.1420071400238022E-2</v>
      </c>
      <c r="F190" s="4">
        <f t="shared" si="8"/>
        <v>6.3497741805661851E-3</v>
      </c>
      <c r="G190" s="4">
        <f t="shared" si="7"/>
        <v>-3.5934608266502202E-2</v>
      </c>
    </row>
    <row r="191" spans="1:7">
      <c r="A191" s="2">
        <v>45645</v>
      </c>
      <c r="B191" s="3">
        <v>248.43</v>
      </c>
      <c r="C191" s="3">
        <v>432.84</v>
      </c>
      <c r="D191" s="3">
        <v>187.64</v>
      </c>
      <c r="E191" s="4">
        <f t="shared" si="6"/>
        <v>7.0125658694771718E-3</v>
      </c>
      <c r="F191" s="4">
        <f t="shared" si="8"/>
        <v>-3.754721173072658E-2</v>
      </c>
      <c r="G191" s="4">
        <f t="shared" si="7"/>
        <v>5.8657281501618523E-4</v>
      </c>
    </row>
    <row r="192" spans="1:7">
      <c r="A192" s="2">
        <v>45646</v>
      </c>
      <c r="B192" s="3">
        <v>253.11</v>
      </c>
      <c r="C192" s="3">
        <v>432.42</v>
      </c>
      <c r="D192" s="3">
        <v>190.53</v>
      </c>
      <c r="E192" s="4">
        <f t="shared" si="6"/>
        <v>1.8838304552590293E-2</v>
      </c>
      <c r="F192" s="4">
        <f t="shared" si="8"/>
        <v>-8.3102493074795395E-4</v>
      </c>
      <c r="G192" s="4">
        <f t="shared" si="7"/>
        <v>1.5401833297804386E-2</v>
      </c>
    </row>
    <row r="193" spans="1:7">
      <c r="A193" s="2">
        <v>45649</v>
      </c>
      <c r="B193" s="3">
        <v>253.88</v>
      </c>
      <c r="C193" s="3">
        <v>431.08</v>
      </c>
      <c r="D193" s="3">
        <v>193.73</v>
      </c>
      <c r="E193" s="4">
        <f t="shared" si="6"/>
        <v>3.0421555845283939E-3</v>
      </c>
      <c r="F193" s="4">
        <f t="shared" si="8"/>
        <v>-9.703354588299582E-4</v>
      </c>
      <c r="G193" s="4">
        <f t="shared" si="7"/>
        <v>1.6795255340366286E-2</v>
      </c>
    </row>
    <row r="194" spans="1:7">
      <c r="A194" s="2">
        <v>45650</v>
      </c>
      <c r="B194" s="3">
        <v>256.8</v>
      </c>
      <c r="C194" s="3">
        <v>435.12</v>
      </c>
      <c r="D194" s="3">
        <v>195.21</v>
      </c>
      <c r="E194" s="4">
        <f t="shared" si="6"/>
        <v>1.1501496770127682E-2</v>
      </c>
      <c r="F194" s="4">
        <f t="shared" si="8"/>
        <v>-3.0988390916239575E-3</v>
      </c>
      <c r="G194" s="4">
        <f t="shared" si="7"/>
        <v>7.6394982707893369E-3</v>
      </c>
    </row>
    <row r="195" spans="1:7">
      <c r="A195" s="2">
        <v>45652</v>
      </c>
      <c r="B195" s="3">
        <v>257.61</v>
      </c>
      <c r="C195" s="3">
        <v>433.91</v>
      </c>
      <c r="D195" s="3">
        <v>194.7</v>
      </c>
      <c r="E195" s="4">
        <f t="shared" si="6"/>
        <v>3.1542056074766443E-3</v>
      </c>
      <c r="F195" s="4">
        <f t="shared" si="8"/>
        <v>9.3718103368284796E-3</v>
      </c>
      <c r="G195" s="4">
        <f t="shared" si="7"/>
        <v>-2.6125710773014666E-3</v>
      </c>
    </row>
    <row r="196" spans="1:7">
      <c r="A196" s="2">
        <v>45653</v>
      </c>
      <c r="B196" s="3">
        <v>254.2</v>
      </c>
      <c r="C196" s="3">
        <v>426.4</v>
      </c>
      <c r="D196" s="3">
        <v>191.87</v>
      </c>
      <c r="E196" s="4">
        <f t="shared" ref="E196:E259" si="9">(B196-B195)/B195</f>
        <v>-1.3237063778580121E-2</v>
      </c>
      <c r="F196" s="4">
        <f t="shared" si="8"/>
        <v>-2.7808420665563051E-3</v>
      </c>
      <c r="G196" s="4">
        <f t="shared" ref="G196:G259" si="10">(D196-D195)/D195</f>
        <v>-1.4535182331792421E-2</v>
      </c>
    </row>
    <row r="197" spans="1:7">
      <c r="A197" s="2">
        <v>45656</v>
      </c>
      <c r="B197" s="3">
        <v>250.83</v>
      </c>
      <c r="C197" s="3">
        <v>420.76</v>
      </c>
      <c r="D197" s="3">
        <v>190.36</v>
      </c>
      <c r="E197" s="4">
        <f t="shared" si="9"/>
        <v>-1.325727773406757E-2</v>
      </c>
      <c r="F197" s="4">
        <f t="shared" ref="F197:F260" si="11">(C196-C195)/C195</f>
        <v>-1.7307736627411325E-2</v>
      </c>
      <c r="G197" s="4">
        <f t="shared" si="10"/>
        <v>-7.8699119195288006E-3</v>
      </c>
    </row>
    <row r="198" spans="1:7">
      <c r="A198" s="2">
        <v>45657</v>
      </c>
      <c r="B198" s="3">
        <v>249.06</v>
      </c>
      <c r="C198" s="3">
        <v>417.46</v>
      </c>
      <c r="D198" s="3">
        <v>188.43</v>
      </c>
      <c r="E198" s="4">
        <f t="shared" si="9"/>
        <v>-7.0565721803612412E-3</v>
      </c>
      <c r="F198" s="4">
        <f t="shared" si="11"/>
        <v>-1.3227016885553439E-2</v>
      </c>
      <c r="G198" s="4">
        <f t="shared" si="10"/>
        <v>-1.0138684597604574E-2</v>
      </c>
    </row>
    <row r="199" spans="1:7">
      <c r="A199" s="2">
        <v>45659</v>
      </c>
      <c r="B199" s="3">
        <v>242.53</v>
      </c>
      <c r="C199" s="3">
        <v>414.57</v>
      </c>
      <c r="D199" s="3">
        <v>188.56</v>
      </c>
      <c r="E199" s="4">
        <f t="shared" si="9"/>
        <v>-2.621858186782302E-2</v>
      </c>
      <c r="F199" s="4">
        <f t="shared" si="11"/>
        <v>-7.8429508508413622E-3</v>
      </c>
      <c r="G199" s="4">
        <f t="shared" si="10"/>
        <v>6.8991137292360798E-4</v>
      </c>
    </row>
    <row r="200" spans="1:7">
      <c r="A200" s="2">
        <v>45660</v>
      </c>
      <c r="B200" s="3">
        <v>242.04</v>
      </c>
      <c r="C200" s="3">
        <v>419.29</v>
      </c>
      <c r="D200" s="3">
        <v>190.91</v>
      </c>
      <c r="E200" s="4">
        <f t="shared" si="9"/>
        <v>-2.0203686141920963E-3</v>
      </c>
      <c r="F200" s="4">
        <f t="shared" si="11"/>
        <v>-6.9228189527140004E-3</v>
      </c>
      <c r="G200" s="4">
        <f t="shared" si="10"/>
        <v>1.2462876537971969E-2</v>
      </c>
    </row>
    <row r="201" spans="1:7">
      <c r="A201" s="2">
        <v>45663</v>
      </c>
      <c r="B201" s="3">
        <v>243.67</v>
      </c>
      <c r="C201" s="3">
        <v>423.75</v>
      </c>
      <c r="D201" s="3">
        <v>195.96</v>
      </c>
      <c r="E201" s="4">
        <f t="shared" si="9"/>
        <v>6.7344240621384707E-3</v>
      </c>
      <c r="F201" s="4">
        <f t="shared" si="11"/>
        <v>1.1385290783221235E-2</v>
      </c>
      <c r="G201" s="4">
        <f t="shared" si="10"/>
        <v>2.6452254989262017E-2</v>
      </c>
    </row>
    <row r="202" spans="1:7">
      <c r="A202" s="2">
        <v>45664</v>
      </c>
      <c r="B202" s="3">
        <v>240.89</v>
      </c>
      <c r="C202" s="3">
        <v>418.32</v>
      </c>
      <c r="D202" s="3">
        <v>194.59</v>
      </c>
      <c r="E202" s="4">
        <f t="shared" si="9"/>
        <v>-1.140887265564083E-2</v>
      </c>
      <c r="F202" s="4">
        <f t="shared" si="11"/>
        <v>1.0637029263755347E-2</v>
      </c>
      <c r="G202" s="4">
        <f t="shared" si="10"/>
        <v>-6.9912226985099227E-3</v>
      </c>
    </row>
    <row r="203" spans="1:7">
      <c r="A203" s="2">
        <v>45665</v>
      </c>
      <c r="B203" s="3">
        <v>241.38</v>
      </c>
      <c r="C203" s="3">
        <v>420.49</v>
      </c>
      <c r="D203" s="3">
        <v>193.06</v>
      </c>
      <c r="E203" s="4">
        <f t="shared" si="9"/>
        <v>2.0341234588401725E-3</v>
      </c>
      <c r="F203" s="4">
        <f t="shared" si="11"/>
        <v>-1.2814159292035414E-2</v>
      </c>
      <c r="G203" s="4">
        <f t="shared" si="10"/>
        <v>-7.8626856467444422E-3</v>
      </c>
    </row>
    <row r="204" spans="1:7">
      <c r="A204" s="2">
        <v>45667</v>
      </c>
      <c r="B204" s="3">
        <v>235.56</v>
      </c>
      <c r="C204" s="3">
        <v>414.94</v>
      </c>
      <c r="D204" s="3">
        <v>191.16</v>
      </c>
      <c r="E204" s="4">
        <f t="shared" si="9"/>
        <v>-2.4111359681829453E-2</v>
      </c>
      <c r="F204" s="4">
        <f t="shared" si="11"/>
        <v>5.1874163319946837E-3</v>
      </c>
      <c r="G204" s="4">
        <f t="shared" si="10"/>
        <v>-9.8415000517973975E-3</v>
      </c>
    </row>
    <row r="205" spans="1:7">
      <c r="A205" s="2">
        <v>45670</v>
      </c>
      <c r="B205" s="3">
        <v>233.13</v>
      </c>
      <c r="C205" s="3">
        <v>413.19</v>
      </c>
      <c r="D205" s="3">
        <v>190.13</v>
      </c>
      <c r="E205" s="4">
        <f t="shared" si="9"/>
        <v>-1.0315843097300079E-2</v>
      </c>
      <c r="F205" s="4">
        <f t="shared" si="11"/>
        <v>-1.3198887012770841E-2</v>
      </c>
      <c r="G205" s="4">
        <f t="shared" si="10"/>
        <v>-5.3881565181000271E-3</v>
      </c>
    </row>
    <row r="206" spans="1:7">
      <c r="A206" s="2">
        <v>45671</v>
      </c>
      <c r="B206" s="3">
        <v>232.01</v>
      </c>
      <c r="C206" s="3">
        <v>411.69</v>
      </c>
      <c r="D206" s="3">
        <v>188.79</v>
      </c>
      <c r="E206" s="4">
        <f t="shared" si="9"/>
        <v>-4.8041865053832823E-3</v>
      </c>
      <c r="F206" s="4">
        <f t="shared" si="11"/>
        <v>-4.217477225622982E-3</v>
      </c>
      <c r="G206" s="4">
        <f t="shared" si="10"/>
        <v>-7.047809393572837E-3</v>
      </c>
    </row>
    <row r="207" spans="1:7">
      <c r="A207" s="2">
        <v>45672</v>
      </c>
      <c r="B207" s="3">
        <v>236.58</v>
      </c>
      <c r="C207" s="3">
        <v>422.22</v>
      </c>
      <c r="D207" s="3">
        <v>194.65</v>
      </c>
      <c r="E207" s="4">
        <f t="shared" si="9"/>
        <v>1.9697426835050307E-2</v>
      </c>
      <c r="F207" s="4">
        <f t="shared" si="11"/>
        <v>-3.630291149350178E-3</v>
      </c>
      <c r="G207" s="4">
        <f t="shared" si="10"/>
        <v>3.1039779649345907E-2</v>
      </c>
    </row>
    <row r="208" spans="1:7">
      <c r="A208" s="2">
        <v>45673</v>
      </c>
      <c r="B208" s="3">
        <v>227.02</v>
      </c>
      <c r="C208" s="3">
        <v>420.51</v>
      </c>
      <c r="D208" s="3">
        <v>192.02</v>
      </c>
      <c r="E208" s="4">
        <f t="shared" si="9"/>
        <v>-4.040916391918168E-2</v>
      </c>
      <c r="F208" s="4">
        <f t="shared" si="11"/>
        <v>2.5577497631713256E-2</v>
      </c>
      <c r="G208" s="4">
        <f t="shared" si="10"/>
        <v>-1.3511430773182611E-2</v>
      </c>
    </row>
    <row r="209" spans="1:7">
      <c r="A209" s="2">
        <v>45674</v>
      </c>
      <c r="B209" s="3">
        <v>228.73</v>
      </c>
      <c r="C209" s="3">
        <v>424.92</v>
      </c>
      <c r="D209" s="3">
        <v>195.1</v>
      </c>
      <c r="E209" s="4">
        <f t="shared" si="9"/>
        <v>7.5323760021142605E-3</v>
      </c>
      <c r="F209" s="4">
        <f t="shared" si="11"/>
        <v>-4.0500213159017483E-3</v>
      </c>
      <c r="G209" s="4">
        <f t="shared" si="10"/>
        <v>1.6039995833767234E-2</v>
      </c>
    </row>
    <row r="210" spans="1:7">
      <c r="A210" s="2">
        <v>45678</v>
      </c>
      <c r="B210" s="3">
        <v>221.43</v>
      </c>
      <c r="C210" s="3">
        <v>424.39</v>
      </c>
      <c r="D210" s="3">
        <v>197.14</v>
      </c>
      <c r="E210" s="4">
        <f t="shared" si="9"/>
        <v>-3.1915358719888001E-2</v>
      </c>
      <c r="F210" s="4">
        <f t="shared" si="11"/>
        <v>1.0487265463365973E-2</v>
      </c>
      <c r="G210" s="4">
        <f t="shared" si="10"/>
        <v>1.0456176319835942E-2</v>
      </c>
    </row>
    <row r="211" spans="1:7">
      <c r="A211" s="2">
        <v>45679</v>
      </c>
      <c r="B211" s="3">
        <v>222.61</v>
      </c>
      <c r="C211" s="3">
        <v>441.92</v>
      </c>
      <c r="D211" s="3">
        <v>197.46</v>
      </c>
      <c r="E211" s="4">
        <f t="shared" si="9"/>
        <v>5.3289978774330796E-3</v>
      </c>
      <c r="F211" s="4">
        <f t="shared" si="11"/>
        <v>-1.2472936082086735E-3</v>
      </c>
      <c r="G211" s="4">
        <f t="shared" si="10"/>
        <v>1.6232119306077996E-3</v>
      </c>
    </row>
    <row r="212" spans="1:7">
      <c r="A212" s="2">
        <v>45680</v>
      </c>
      <c r="B212" s="3">
        <v>222.44</v>
      </c>
      <c r="C212" s="3">
        <v>442.43</v>
      </c>
      <c r="D212" s="3">
        <v>197.07</v>
      </c>
      <c r="E212" s="4">
        <f t="shared" si="9"/>
        <v>-7.6366740038639731E-4</v>
      </c>
      <c r="F212" s="4">
        <f t="shared" si="11"/>
        <v>4.1306345578359598E-2</v>
      </c>
      <c r="G212" s="4">
        <f t="shared" si="10"/>
        <v>-1.9750835612276653E-3</v>
      </c>
    </row>
    <row r="213" spans="1:7">
      <c r="A213" s="2">
        <v>45681</v>
      </c>
      <c r="B213" s="3">
        <v>221.57</v>
      </c>
      <c r="C213" s="3">
        <v>439.8</v>
      </c>
      <c r="D213" s="3">
        <v>199.29</v>
      </c>
      <c r="E213" s="4">
        <f t="shared" si="9"/>
        <v>-3.9111670562848614E-3</v>
      </c>
      <c r="F213" s="4">
        <f t="shared" si="11"/>
        <v>1.1540550325850627E-3</v>
      </c>
      <c r="G213" s="4">
        <f t="shared" si="10"/>
        <v>1.1265032729486979E-2</v>
      </c>
    </row>
    <row r="214" spans="1:7">
      <c r="A214" s="2">
        <v>45684</v>
      </c>
      <c r="B214" s="3">
        <v>228.61</v>
      </c>
      <c r="C214" s="3">
        <v>430.4</v>
      </c>
      <c r="D214" s="3">
        <v>190.93</v>
      </c>
      <c r="E214" s="4">
        <f t="shared" si="9"/>
        <v>3.1773254501963354E-2</v>
      </c>
      <c r="F214" s="4">
        <f t="shared" si="11"/>
        <v>-5.944443188753013E-3</v>
      </c>
      <c r="G214" s="4">
        <f t="shared" si="10"/>
        <v>-4.1948918661247357E-2</v>
      </c>
    </row>
    <row r="215" spans="1:7">
      <c r="A215" s="2">
        <v>45685</v>
      </c>
      <c r="B215" s="3">
        <v>236.97</v>
      </c>
      <c r="C215" s="3">
        <v>442.91</v>
      </c>
      <c r="D215" s="3">
        <v>194.4</v>
      </c>
      <c r="E215" s="4">
        <f t="shared" si="9"/>
        <v>3.6568829010104477E-2</v>
      </c>
      <c r="F215" s="4">
        <f t="shared" si="11"/>
        <v>-2.1373351523419813E-2</v>
      </c>
      <c r="G215" s="4">
        <f t="shared" si="10"/>
        <v>1.8174199968574865E-2</v>
      </c>
    </row>
    <row r="216" spans="1:7">
      <c r="A216" s="2">
        <v>45686</v>
      </c>
      <c r="B216" s="3">
        <v>238.06</v>
      </c>
      <c r="C216" s="3">
        <v>438.09</v>
      </c>
      <c r="D216" s="3">
        <v>194.51</v>
      </c>
      <c r="E216" s="4">
        <f t="shared" si="9"/>
        <v>4.5997383635059431E-3</v>
      </c>
      <c r="F216" s="4">
        <f t="shared" si="11"/>
        <v>2.9065985130111636E-2</v>
      </c>
      <c r="G216" s="4">
        <f t="shared" si="10"/>
        <v>5.6584362139910091E-4</v>
      </c>
    </row>
    <row r="217" spans="1:7">
      <c r="A217" s="2">
        <v>45687</v>
      </c>
      <c r="B217" s="3">
        <v>236.3</v>
      </c>
      <c r="C217" s="3">
        <v>411.01</v>
      </c>
      <c r="D217" s="3">
        <v>199.95</v>
      </c>
      <c r="E217" s="4">
        <f t="shared" si="9"/>
        <v>-7.3930941779382963E-3</v>
      </c>
      <c r="F217" s="4">
        <f t="shared" si="11"/>
        <v>-1.088257208010668E-2</v>
      </c>
      <c r="G217" s="4">
        <f t="shared" si="10"/>
        <v>2.7967713742224041E-2</v>
      </c>
    </row>
    <row r="218" spans="1:7">
      <c r="A218" s="2">
        <v>45688</v>
      </c>
      <c r="B218" s="3">
        <v>234.72</v>
      </c>
      <c r="C218" s="3">
        <v>411.08</v>
      </c>
      <c r="D218" s="3">
        <v>203.08</v>
      </c>
      <c r="E218" s="4">
        <f t="shared" si="9"/>
        <v>-6.6864155734236664E-3</v>
      </c>
      <c r="F218" s="4">
        <f t="shared" si="11"/>
        <v>-6.1813782556095744E-2</v>
      </c>
      <c r="G218" s="4">
        <f t="shared" si="10"/>
        <v>1.5653913478369714E-2</v>
      </c>
    </row>
    <row r="219" spans="1:7">
      <c r="A219" s="2">
        <v>45691</v>
      </c>
      <c r="B219" s="3">
        <v>226.77</v>
      </c>
      <c r="C219" s="3">
        <v>406.98</v>
      </c>
      <c r="D219" s="3">
        <v>200.3</v>
      </c>
      <c r="E219" s="4">
        <f t="shared" si="9"/>
        <v>-3.3870143149284208E-2</v>
      </c>
      <c r="F219" s="4">
        <f t="shared" si="11"/>
        <v>1.7031215785502342E-4</v>
      </c>
      <c r="G219" s="4">
        <f t="shared" si="10"/>
        <v>-1.3689186527476862E-2</v>
      </c>
    </row>
    <row r="220" spans="1:7">
      <c r="A220" s="2">
        <v>45692</v>
      </c>
      <c r="B220" s="3">
        <v>231.54</v>
      </c>
      <c r="C220" s="3">
        <v>408.42</v>
      </c>
      <c r="D220" s="3">
        <v>205.43</v>
      </c>
      <c r="E220" s="4">
        <f t="shared" si="9"/>
        <v>2.1034528376769331E-2</v>
      </c>
      <c r="F220" s="4">
        <f t="shared" si="11"/>
        <v>-9.973727741558738E-3</v>
      </c>
      <c r="G220" s="4">
        <f t="shared" si="10"/>
        <v>2.5611582626060884E-2</v>
      </c>
    </row>
    <row r="221" spans="1:7">
      <c r="A221" s="2">
        <v>45693</v>
      </c>
      <c r="B221" s="3">
        <v>231.21</v>
      </c>
      <c r="C221" s="3">
        <v>409.33</v>
      </c>
      <c r="D221" s="3">
        <v>190.45</v>
      </c>
      <c r="E221" s="4">
        <f t="shared" si="9"/>
        <v>-1.425239699403922E-3</v>
      </c>
      <c r="F221" s="4">
        <f t="shared" si="11"/>
        <v>3.5382574082264426E-3</v>
      </c>
      <c r="G221" s="4">
        <f t="shared" si="10"/>
        <v>-7.2920216132015853E-2</v>
      </c>
    </row>
    <row r="222" spans="1:7">
      <c r="A222" s="2">
        <v>45694</v>
      </c>
      <c r="B222" s="3">
        <v>231.95</v>
      </c>
      <c r="C222" s="3">
        <v>411.84</v>
      </c>
      <c r="D222" s="3">
        <v>190.72</v>
      </c>
      <c r="E222" s="4">
        <f t="shared" si="9"/>
        <v>3.2005536092728718E-3</v>
      </c>
      <c r="F222" s="4">
        <f t="shared" si="11"/>
        <v>2.2280985260270509E-3</v>
      </c>
      <c r="G222" s="4">
        <f t="shared" si="10"/>
        <v>1.4176949330533487E-3</v>
      </c>
    </row>
    <row r="223" spans="1:7">
      <c r="A223" s="2">
        <v>45695</v>
      </c>
      <c r="B223" s="3">
        <v>226.39</v>
      </c>
      <c r="C223" s="3">
        <v>405.82</v>
      </c>
      <c r="D223" s="3">
        <v>184.49</v>
      </c>
      <c r="E223" s="4">
        <f t="shared" si="9"/>
        <v>-2.3970683336926073E-2</v>
      </c>
      <c r="F223" s="4">
        <f t="shared" si="11"/>
        <v>6.1319717587276553E-3</v>
      </c>
      <c r="G223" s="4">
        <f t="shared" si="10"/>
        <v>-3.2665687919463032E-2</v>
      </c>
    </row>
    <row r="224" spans="1:7">
      <c r="A224" s="2">
        <v>45698</v>
      </c>
      <c r="B224" s="3">
        <v>226.66</v>
      </c>
      <c r="C224" s="3">
        <v>408.27</v>
      </c>
      <c r="D224" s="3">
        <v>185.61</v>
      </c>
      <c r="E224" s="4">
        <f t="shared" si="9"/>
        <v>1.192632183400372E-3</v>
      </c>
      <c r="F224" s="4">
        <f t="shared" si="11"/>
        <v>-1.4617327117327075E-2</v>
      </c>
      <c r="G224" s="4">
        <f t="shared" si="10"/>
        <v>6.0707897447016346E-3</v>
      </c>
    </row>
    <row r="225" spans="1:7">
      <c r="A225" s="2">
        <v>45699</v>
      </c>
      <c r="B225" s="3">
        <v>231.61</v>
      </c>
      <c r="C225" s="3">
        <v>407.5</v>
      </c>
      <c r="D225" s="3">
        <v>184.47</v>
      </c>
      <c r="E225" s="4">
        <f t="shared" si="9"/>
        <v>2.1838877614047549E-2</v>
      </c>
      <c r="F225" s="4">
        <f t="shared" si="11"/>
        <v>6.0371593317233964E-3</v>
      </c>
      <c r="G225" s="4">
        <f t="shared" si="10"/>
        <v>-6.1419104574107789E-3</v>
      </c>
    </row>
    <row r="226" spans="1:7">
      <c r="A226" s="2">
        <v>45700</v>
      </c>
      <c r="B226" s="3">
        <v>235.84</v>
      </c>
      <c r="C226" s="3">
        <v>405.12</v>
      </c>
      <c r="D226" s="3">
        <v>182.77</v>
      </c>
      <c r="E226" s="4">
        <f t="shared" si="9"/>
        <v>1.826346012693748E-2</v>
      </c>
      <c r="F226" s="4">
        <f t="shared" si="11"/>
        <v>-1.8860068092193447E-3</v>
      </c>
      <c r="G226" s="4">
        <f t="shared" si="10"/>
        <v>-9.2155906109393868E-3</v>
      </c>
    </row>
    <row r="227" spans="1:7">
      <c r="A227" s="2">
        <v>45701</v>
      </c>
      <c r="B227" s="3">
        <v>240.48</v>
      </c>
      <c r="C227" s="3">
        <v>406.61</v>
      </c>
      <c r="D227" s="3">
        <v>185.28</v>
      </c>
      <c r="E227" s="4">
        <f t="shared" si="9"/>
        <v>1.9674355495250959E-2</v>
      </c>
      <c r="F227" s="4">
        <f t="shared" si="11"/>
        <v>-5.8404907975460009E-3</v>
      </c>
      <c r="G227" s="4">
        <f t="shared" si="10"/>
        <v>1.3733107183892273E-2</v>
      </c>
    </row>
    <row r="228" spans="1:7">
      <c r="A228" s="2">
        <v>45702</v>
      </c>
      <c r="B228" s="3">
        <v>243.54</v>
      </c>
      <c r="C228" s="3">
        <v>404.52</v>
      </c>
      <c r="D228" s="3">
        <v>184.38</v>
      </c>
      <c r="E228" s="4">
        <f t="shared" si="9"/>
        <v>1.2724550898203603E-2</v>
      </c>
      <c r="F228" s="4">
        <f t="shared" si="11"/>
        <v>3.677922590837305E-3</v>
      </c>
      <c r="G228" s="4">
        <f t="shared" si="10"/>
        <v>-4.8575129533679059E-3</v>
      </c>
    </row>
    <row r="229" spans="1:7">
      <c r="A229" s="2">
        <v>45706</v>
      </c>
      <c r="B229" s="3">
        <v>243.41</v>
      </c>
      <c r="C229" s="3">
        <v>405.71</v>
      </c>
      <c r="D229" s="3">
        <v>182.92</v>
      </c>
      <c r="E229" s="4">
        <f t="shared" si="9"/>
        <v>-5.337932167200273E-4</v>
      </c>
      <c r="F229" s="4">
        <f t="shared" si="11"/>
        <v>-5.1400605002337174E-3</v>
      </c>
      <c r="G229" s="4">
        <f t="shared" si="10"/>
        <v>-7.9184293307300573E-3</v>
      </c>
    </row>
    <row r="230" spans="1:7">
      <c r="A230" s="2">
        <v>45707</v>
      </c>
      <c r="B230" s="3">
        <v>243.81</v>
      </c>
      <c r="C230" s="3">
        <v>410.8</v>
      </c>
      <c r="D230" s="3">
        <v>184.42</v>
      </c>
      <c r="E230" s="4">
        <f t="shared" si="9"/>
        <v>1.6433178587568534E-3</v>
      </c>
      <c r="F230" s="4">
        <f t="shared" si="11"/>
        <v>2.9417581330960095E-3</v>
      </c>
      <c r="G230" s="4">
        <f t="shared" si="10"/>
        <v>8.2003061447627392E-3</v>
      </c>
    </row>
    <row r="231" spans="1:7">
      <c r="A231" s="2">
        <v>45708</v>
      </c>
      <c r="B231" s="3">
        <v>244.76</v>
      </c>
      <c r="C231" s="3">
        <v>412.97</v>
      </c>
      <c r="D231" s="3">
        <v>183.71</v>
      </c>
      <c r="E231" s="4">
        <f t="shared" si="9"/>
        <v>3.8964767646937721E-3</v>
      </c>
      <c r="F231" s="4">
        <f t="shared" si="11"/>
        <v>1.2545907175075872E-2</v>
      </c>
      <c r="G231" s="4">
        <f t="shared" si="10"/>
        <v>-3.8499078191084461E-3</v>
      </c>
    </row>
    <row r="232" spans="1:7">
      <c r="A232" s="2">
        <v>45709</v>
      </c>
      <c r="B232" s="3">
        <v>244.48</v>
      </c>
      <c r="C232" s="3">
        <v>405.11</v>
      </c>
      <c r="D232" s="3">
        <v>178.83</v>
      </c>
      <c r="E232" s="4">
        <f t="shared" si="9"/>
        <v>-1.143977774146107E-3</v>
      </c>
      <c r="F232" s="4">
        <f t="shared" si="11"/>
        <v>5.2823758519961435E-3</v>
      </c>
      <c r="G232" s="4">
        <f t="shared" si="10"/>
        <v>-2.6563605682869713E-2</v>
      </c>
    </row>
    <row r="233" spans="1:7">
      <c r="A233" s="2">
        <v>45712</v>
      </c>
      <c r="B233" s="3">
        <v>246.03</v>
      </c>
      <c r="C233" s="3">
        <v>400.93</v>
      </c>
      <c r="D233" s="3">
        <v>178.43</v>
      </c>
      <c r="E233" s="4">
        <f t="shared" si="9"/>
        <v>6.3399869109948114E-3</v>
      </c>
      <c r="F233" s="4">
        <f t="shared" si="11"/>
        <v>-1.9032859529747957E-2</v>
      </c>
      <c r="G233" s="4">
        <f t="shared" si="10"/>
        <v>-2.2367611698261235E-3</v>
      </c>
    </row>
    <row r="234" spans="1:7">
      <c r="A234" s="2">
        <v>45713</v>
      </c>
      <c r="B234" s="3">
        <v>245.97</v>
      </c>
      <c r="C234" s="3">
        <v>394.88</v>
      </c>
      <c r="D234" s="3">
        <v>174.61</v>
      </c>
      <c r="E234" s="4">
        <f t="shared" si="9"/>
        <v>-2.4387269845141762E-4</v>
      </c>
      <c r="F234" s="4">
        <f t="shared" si="11"/>
        <v>-1.0318185184270955E-2</v>
      </c>
      <c r="G234" s="4">
        <f t="shared" si="10"/>
        <v>-2.140895589306727E-2</v>
      </c>
    </row>
    <row r="235" spans="1:7">
      <c r="A235" s="2">
        <v>45714</v>
      </c>
      <c r="B235" s="3">
        <v>239.32</v>
      </c>
      <c r="C235" s="3">
        <v>396.69</v>
      </c>
      <c r="D235" s="3">
        <v>171.94</v>
      </c>
      <c r="E235" s="4">
        <f t="shared" si="9"/>
        <v>-2.7035817376102798E-2</v>
      </c>
      <c r="F235" s="4">
        <f t="shared" si="11"/>
        <v>-1.5089915945426911E-2</v>
      </c>
      <c r="G235" s="4">
        <f t="shared" si="10"/>
        <v>-1.5291220434110393E-2</v>
      </c>
    </row>
    <row r="236" spans="1:7">
      <c r="A236" s="2">
        <v>45715</v>
      </c>
      <c r="B236" s="3">
        <v>236.27</v>
      </c>
      <c r="C236" s="3">
        <v>389.55</v>
      </c>
      <c r="D236" s="3">
        <v>167.72</v>
      </c>
      <c r="E236" s="4">
        <f t="shared" si="9"/>
        <v>-1.27444425873307E-2</v>
      </c>
      <c r="F236" s="4">
        <f t="shared" si="11"/>
        <v>4.5836709886547871E-3</v>
      </c>
      <c r="G236" s="4">
        <f t="shared" si="10"/>
        <v>-2.4543445387926015E-2</v>
      </c>
    </row>
    <row r="237" spans="1:7">
      <c r="A237" s="2">
        <v>45716</v>
      </c>
      <c r="B237" s="3">
        <v>240.79</v>
      </c>
      <c r="C237" s="3">
        <v>393.97</v>
      </c>
      <c r="D237" s="3">
        <v>169.5</v>
      </c>
      <c r="E237" s="4">
        <f t="shared" si="9"/>
        <v>1.9130655605874559E-2</v>
      </c>
      <c r="F237" s="4">
        <f t="shared" si="11"/>
        <v>-1.7998941238750628E-2</v>
      </c>
      <c r="G237" s="4">
        <f t="shared" si="10"/>
        <v>1.0612926305747682E-2</v>
      </c>
    </row>
    <row r="238" spans="1:7">
      <c r="A238" s="2">
        <v>45719</v>
      </c>
      <c r="B238" s="3">
        <v>237</v>
      </c>
      <c r="C238" s="3">
        <v>385.54</v>
      </c>
      <c r="D238" s="3">
        <v>166.24</v>
      </c>
      <c r="E238" s="4">
        <f t="shared" si="9"/>
        <v>-1.5739856306324979E-2</v>
      </c>
      <c r="F238" s="4">
        <f t="shared" si="11"/>
        <v>1.134642536259791E-2</v>
      </c>
      <c r="G238" s="4">
        <f t="shared" si="10"/>
        <v>-1.9233038348082543E-2</v>
      </c>
    </row>
    <row r="239" spans="1:7">
      <c r="A239" s="2">
        <v>45720</v>
      </c>
      <c r="B239" s="3">
        <v>234.91</v>
      </c>
      <c r="C239" s="3">
        <v>385.66</v>
      </c>
      <c r="D239" s="3">
        <v>170.13</v>
      </c>
      <c r="E239" s="4">
        <f t="shared" si="9"/>
        <v>-8.8185654008438967E-3</v>
      </c>
      <c r="F239" s="4">
        <f t="shared" si="11"/>
        <v>-2.139756834276723E-2</v>
      </c>
      <c r="G239" s="4">
        <f t="shared" si="10"/>
        <v>2.3399903753609157E-2</v>
      </c>
    </row>
    <row r="240" spans="1:7">
      <c r="A240" s="2">
        <v>45721</v>
      </c>
      <c r="B240" s="3">
        <v>234.72</v>
      </c>
      <c r="C240" s="3">
        <v>397.97</v>
      </c>
      <c r="D240" s="3">
        <v>172.22</v>
      </c>
      <c r="E240" s="4">
        <f t="shared" si="9"/>
        <v>-8.0882039930185062E-4</v>
      </c>
      <c r="F240" s="4">
        <f t="shared" si="11"/>
        <v>3.1125175079110997E-4</v>
      </c>
      <c r="G240" s="4">
        <f t="shared" si="10"/>
        <v>1.2284723446776015E-2</v>
      </c>
    </row>
    <row r="241" spans="1:7">
      <c r="A241" s="2">
        <v>45722</v>
      </c>
      <c r="B241" s="3">
        <v>234.31</v>
      </c>
      <c r="C241" s="3">
        <v>393.87</v>
      </c>
      <c r="D241" s="3">
        <v>171.56</v>
      </c>
      <c r="E241" s="4">
        <f t="shared" si="9"/>
        <v>-1.7467620995228212E-3</v>
      </c>
      <c r="F241" s="4">
        <f t="shared" si="11"/>
        <v>3.1919307161748692E-2</v>
      </c>
      <c r="G241" s="4">
        <f t="shared" si="10"/>
        <v>-3.8323075136453178E-3</v>
      </c>
    </row>
    <row r="242" spans="1:7">
      <c r="A242" s="2">
        <v>45723</v>
      </c>
      <c r="B242" s="3">
        <v>238.03</v>
      </c>
      <c r="C242" s="3">
        <v>390.32</v>
      </c>
      <c r="D242" s="3">
        <v>173.06</v>
      </c>
      <c r="E242" s="4">
        <f t="shared" si="9"/>
        <v>1.5876403055780797E-2</v>
      </c>
      <c r="F242" s="4">
        <f t="shared" si="11"/>
        <v>-1.0302284091765767E-2</v>
      </c>
      <c r="G242" s="4">
        <f t="shared" si="10"/>
        <v>8.7432968057822337E-3</v>
      </c>
    </row>
    <row r="243" spans="1:7">
      <c r="A243" s="2">
        <v>45726</v>
      </c>
      <c r="B243" s="3">
        <v>226.49</v>
      </c>
      <c r="C243" s="3">
        <v>377.27</v>
      </c>
      <c r="D243" s="3">
        <v>165.3</v>
      </c>
      <c r="E243" s="4">
        <f t="shared" si="9"/>
        <v>-4.8481283871780835E-2</v>
      </c>
      <c r="F243" s="4">
        <f t="shared" si="11"/>
        <v>-9.0131261583771584E-3</v>
      </c>
      <c r="G243" s="4">
        <f t="shared" si="10"/>
        <v>-4.4839939905235125E-2</v>
      </c>
    </row>
    <row r="244" spans="1:7">
      <c r="A244" s="2">
        <v>45727</v>
      </c>
      <c r="B244" s="3">
        <v>219.88</v>
      </c>
      <c r="C244" s="3">
        <v>377.56</v>
      </c>
      <c r="D244" s="3">
        <v>163.47</v>
      </c>
      <c r="E244" s="4">
        <f t="shared" si="9"/>
        <v>-2.9184511457459549E-2</v>
      </c>
      <c r="F244" s="4">
        <f t="shared" si="11"/>
        <v>-3.3434105349456886E-2</v>
      </c>
      <c r="G244" s="4">
        <f t="shared" si="10"/>
        <v>-1.1070780399274121E-2</v>
      </c>
    </row>
    <row r="245" spans="1:7">
      <c r="A245" s="2">
        <v>45728</v>
      </c>
      <c r="B245" s="3">
        <v>216.04</v>
      </c>
      <c r="C245" s="3">
        <v>380.36</v>
      </c>
      <c r="D245" s="3">
        <v>166.53</v>
      </c>
      <c r="E245" s="4">
        <f t="shared" si="9"/>
        <v>-1.746407131162454E-2</v>
      </c>
      <c r="F245" s="4">
        <f t="shared" si="11"/>
        <v>7.6868025551997366E-4</v>
      </c>
      <c r="G245" s="4">
        <f t="shared" si="10"/>
        <v>1.8719031014865127E-2</v>
      </c>
    </row>
    <row r="246" spans="1:7">
      <c r="A246" s="2">
        <v>45729</v>
      </c>
      <c r="B246" s="3">
        <v>208.77</v>
      </c>
      <c r="C246" s="3">
        <v>375.89</v>
      </c>
      <c r="D246" s="3">
        <v>162.19999999999999</v>
      </c>
      <c r="E246" s="4">
        <f t="shared" si="9"/>
        <v>-3.36511757082021E-2</v>
      </c>
      <c r="F246" s="4">
        <f t="shared" si="11"/>
        <v>7.4160398347282849E-3</v>
      </c>
      <c r="G246" s="4">
        <f t="shared" si="10"/>
        <v>-2.600132108328837E-2</v>
      </c>
    </row>
    <row r="247" spans="1:7">
      <c r="A247" s="2">
        <v>45730</v>
      </c>
      <c r="B247" s="3">
        <v>212.56</v>
      </c>
      <c r="C247" s="3">
        <v>385.61</v>
      </c>
      <c r="D247" s="3">
        <v>164.92</v>
      </c>
      <c r="E247" s="4">
        <f t="shared" si="9"/>
        <v>1.8153949322220586E-2</v>
      </c>
      <c r="F247" s="4">
        <f t="shared" si="11"/>
        <v>-1.1752024397938866E-2</v>
      </c>
      <c r="G247" s="4">
        <f t="shared" si="10"/>
        <v>1.6769420468557332E-2</v>
      </c>
    </row>
    <row r="248" spans="1:7">
      <c r="A248" s="2">
        <v>45733</v>
      </c>
      <c r="B248" s="3">
        <v>213.07</v>
      </c>
      <c r="C248" s="3">
        <v>385.75</v>
      </c>
      <c r="D248" s="3">
        <v>163.72</v>
      </c>
      <c r="E248" s="4">
        <f t="shared" si="9"/>
        <v>2.3993225442227647E-3</v>
      </c>
      <c r="F248" s="4">
        <f t="shared" si="11"/>
        <v>2.585862885418614E-2</v>
      </c>
      <c r="G248" s="4">
        <f t="shared" si="10"/>
        <v>-7.2762551540139992E-3</v>
      </c>
    </row>
    <row r="249" spans="1:7">
      <c r="A249" s="2">
        <v>45734</v>
      </c>
      <c r="B249" s="3">
        <v>211.77</v>
      </c>
      <c r="C249" s="3">
        <v>380.61</v>
      </c>
      <c r="D249" s="3">
        <v>160.11000000000001</v>
      </c>
      <c r="E249" s="4">
        <f t="shared" si="9"/>
        <v>-6.1012812690664237E-3</v>
      </c>
      <c r="F249" s="4">
        <f t="shared" si="11"/>
        <v>3.6306112393347256E-4</v>
      </c>
      <c r="G249" s="4">
        <f t="shared" si="10"/>
        <v>-2.2049841192279412E-2</v>
      </c>
    </row>
    <row r="250" spans="1:7">
      <c r="A250" s="2">
        <v>45735</v>
      </c>
      <c r="B250" s="3">
        <v>214.31</v>
      </c>
      <c r="C250" s="3">
        <v>384.87</v>
      </c>
      <c r="D250" s="3">
        <v>163.32</v>
      </c>
      <c r="E250" s="4">
        <f t="shared" si="9"/>
        <v>1.1994144590829635E-2</v>
      </c>
      <c r="F250" s="4">
        <f t="shared" si="11"/>
        <v>-1.3324692158133471E-2</v>
      </c>
      <c r="G250" s="4">
        <f t="shared" si="10"/>
        <v>2.0048716507401032E-2</v>
      </c>
    </row>
    <row r="251" spans="1:7">
      <c r="A251" s="2">
        <v>45736</v>
      </c>
      <c r="B251" s="3">
        <v>213.17</v>
      </c>
      <c r="C251" s="3">
        <v>383.9</v>
      </c>
      <c r="D251" s="3">
        <v>162.24</v>
      </c>
      <c r="E251" s="4">
        <f t="shared" si="9"/>
        <v>-5.3193971349914364E-3</v>
      </c>
      <c r="F251" s="4">
        <f t="shared" si="11"/>
        <v>1.1192559312682249E-2</v>
      </c>
      <c r="G251" s="4">
        <f t="shared" si="10"/>
        <v>-6.6127847171196675E-3</v>
      </c>
    </row>
    <row r="252" spans="1:7">
      <c r="A252" s="2">
        <v>45737</v>
      </c>
      <c r="B252" s="3">
        <v>217.32</v>
      </c>
      <c r="C252" s="3">
        <v>388.29</v>
      </c>
      <c r="D252" s="3">
        <v>163.41999999999999</v>
      </c>
      <c r="E252" s="4">
        <f t="shared" si="9"/>
        <v>1.9468030210630042E-2</v>
      </c>
      <c r="F252" s="4">
        <f t="shared" si="11"/>
        <v>-2.5203315405202464E-3</v>
      </c>
      <c r="G252" s="4">
        <f t="shared" si="10"/>
        <v>7.2731755424061779E-3</v>
      </c>
    </row>
    <row r="253" spans="1:7">
      <c r="A253" s="2">
        <v>45740</v>
      </c>
      <c r="B253" s="3">
        <v>219.77</v>
      </c>
      <c r="C253" s="3">
        <v>390.09</v>
      </c>
      <c r="D253" s="3">
        <v>167.1</v>
      </c>
      <c r="E253" s="4">
        <f t="shared" si="9"/>
        <v>1.127369777286958E-2</v>
      </c>
      <c r="F253" s="4">
        <f t="shared" si="11"/>
        <v>1.1435269601458827E-2</v>
      </c>
      <c r="G253" s="4">
        <f t="shared" si="10"/>
        <v>2.2518663566271E-2</v>
      </c>
    </row>
    <row r="254" spans="1:7">
      <c r="A254" s="2">
        <v>45741</v>
      </c>
      <c r="B254" s="3">
        <v>222.78</v>
      </c>
      <c r="C254" s="3">
        <v>392.16</v>
      </c>
      <c r="D254" s="3">
        <v>169.97</v>
      </c>
      <c r="E254" s="4">
        <f t="shared" si="9"/>
        <v>1.3696136870364429E-2</v>
      </c>
      <c r="F254" s="4">
        <f t="shared" si="11"/>
        <v>4.6357104226221494E-3</v>
      </c>
      <c r="G254" s="4">
        <f t="shared" si="10"/>
        <v>1.717534410532618E-2</v>
      </c>
    </row>
    <row r="255" spans="1:7">
      <c r="A255" s="2">
        <v>45742</v>
      </c>
      <c r="B255" s="3">
        <v>220.57</v>
      </c>
      <c r="C255" s="3">
        <v>387.01</v>
      </c>
      <c r="D255" s="3">
        <v>164.49</v>
      </c>
      <c r="E255" s="4">
        <f t="shared" si="9"/>
        <v>-9.9201005476254964E-3</v>
      </c>
      <c r="F255" s="4">
        <f t="shared" si="11"/>
        <v>5.3064677382143868E-3</v>
      </c>
      <c r="G255" s="4">
        <f t="shared" si="10"/>
        <v>-3.2240983703006355E-2</v>
      </c>
    </row>
    <row r="256" spans="1:7">
      <c r="A256" s="2">
        <v>45743</v>
      </c>
      <c r="B256" s="3">
        <v>222.88</v>
      </c>
      <c r="C256" s="3">
        <v>387.61</v>
      </c>
      <c r="D256" s="3">
        <v>161.68</v>
      </c>
      <c r="E256" s="4">
        <f t="shared" si="9"/>
        <v>1.0472865756902582E-2</v>
      </c>
      <c r="F256" s="4">
        <f t="shared" si="11"/>
        <v>-1.3132394940840559E-2</v>
      </c>
      <c r="G256" s="4">
        <f t="shared" si="10"/>
        <v>-1.7083105355948702E-2</v>
      </c>
    </row>
    <row r="257" spans="1:7">
      <c r="A257" s="2">
        <v>45744</v>
      </c>
      <c r="B257" s="3">
        <v>216.95</v>
      </c>
      <c r="C257" s="3">
        <v>375.92</v>
      </c>
      <c r="D257" s="3">
        <v>153.80000000000001</v>
      </c>
      <c r="E257" s="4">
        <f t="shared" si="9"/>
        <v>-2.6606245513280721E-2</v>
      </c>
      <c r="F257" s="4">
        <f t="shared" si="11"/>
        <v>1.5503475362394325E-3</v>
      </c>
      <c r="G257" s="4">
        <f t="shared" si="10"/>
        <v>-4.8738248391885175E-2</v>
      </c>
    </row>
    <row r="258" spans="1:7">
      <c r="A258" s="2">
        <v>45747</v>
      </c>
      <c r="B258" s="3">
        <v>221.17</v>
      </c>
      <c r="C258" s="3">
        <v>372.54</v>
      </c>
      <c r="D258" s="3">
        <v>154.11000000000001</v>
      </c>
      <c r="E258" s="4">
        <f t="shared" si="9"/>
        <v>1.9451486517630786E-2</v>
      </c>
      <c r="F258" s="4">
        <f t="shared" si="11"/>
        <v>-3.0159180619695046E-2</v>
      </c>
      <c r="G258" s="4">
        <f t="shared" si="10"/>
        <v>2.0156046814044357E-3</v>
      </c>
    </row>
    <row r="259" spans="1:7">
      <c r="A259" s="2">
        <v>45748</v>
      </c>
      <c r="B259" s="3">
        <v>222.22</v>
      </c>
      <c r="C259" s="3">
        <v>379.29</v>
      </c>
      <c r="D259" s="3">
        <v>156.53</v>
      </c>
      <c r="E259" s="4">
        <f t="shared" si="9"/>
        <v>4.7474793145544664E-3</v>
      </c>
      <c r="F259" s="4">
        <f t="shared" si="11"/>
        <v>-8.9912747393062226E-3</v>
      </c>
      <c r="G259" s="4">
        <f t="shared" si="10"/>
        <v>1.5703069236259731E-2</v>
      </c>
    </row>
    <row r="260" spans="1:7">
      <c r="A260" s="2">
        <v>45749</v>
      </c>
      <c r="B260" s="3">
        <v>222.92</v>
      </c>
      <c r="C260" s="3">
        <v>379.24</v>
      </c>
      <c r="D260" s="3">
        <v>156.5</v>
      </c>
      <c r="E260" s="4">
        <f t="shared" ref="E260:E323" si="12">(B260-B259)/B259</f>
        <v>3.150031500314952E-3</v>
      </c>
      <c r="F260" s="4">
        <f t="shared" si="11"/>
        <v>1.8118859719761637E-2</v>
      </c>
      <c r="G260" s="4">
        <f t="shared" ref="G260:G323" si="13">(D260-D259)/D259</f>
        <v>-1.9165655145979133E-4</v>
      </c>
    </row>
    <row r="261" spans="1:7">
      <c r="A261" s="2">
        <v>45750</v>
      </c>
      <c r="B261" s="3">
        <v>202.31</v>
      </c>
      <c r="C261" s="3">
        <v>370.28</v>
      </c>
      <c r="D261" s="3">
        <v>150.19999999999999</v>
      </c>
      <c r="E261" s="4">
        <f t="shared" si="12"/>
        <v>-9.2454692266283806E-2</v>
      </c>
      <c r="F261" s="4">
        <f t="shared" ref="F261:F324" si="14">(C260-C259)/C259</f>
        <v>-1.318252524453884E-4</v>
      </c>
      <c r="G261" s="4">
        <f t="shared" si="13"/>
        <v>-4.0255591054313172E-2</v>
      </c>
    </row>
    <row r="262" spans="1:7">
      <c r="A262" s="2">
        <v>45751</v>
      </c>
      <c r="B262" s="3">
        <v>187.56</v>
      </c>
      <c r="C262" s="3">
        <v>357.11</v>
      </c>
      <c r="D262" s="3">
        <v>145.1</v>
      </c>
      <c r="E262" s="4">
        <f t="shared" si="12"/>
        <v>-7.2907913597943755E-2</v>
      </c>
      <c r="F262" s="4">
        <f t="shared" si="14"/>
        <v>-2.3626199767957063E-2</v>
      </c>
      <c r="G262" s="4">
        <f t="shared" si="13"/>
        <v>-3.3954727030625798E-2</v>
      </c>
    </row>
    <row r="263" spans="1:7">
      <c r="A263" s="2">
        <v>45754</v>
      </c>
      <c r="B263" s="3">
        <v>180.67</v>
      </c>
      <c r="C263" s="3">
        <v>355.14</v>
      </c>
      <c r="D263" s="3">
        <v>146.24</v>
      </c>
      <c r="E263" s="4">
        <f t="shared" si="12"/>
        <v>-3.6734911494988351E-2</v>
      </c>
      <c r="F263" s="4">
        <f t="shared" si="14"/>
        <v>-3.5567678513557202E-2</v>
      </c>
      <c r="G263" s="4">
        <f t="shared" si="13"/>
        <v>7.8566505858029961E-3</v>
      </c>
    </row>
    <row r="264" spans="1:7">
      <c r="A264" s="2">
        <v>45755</v>
      </c>
      <c r="B264" s="3">
        <v>171.67</v>
      </c>
      <c r="C264" s="3">
        <v>351.87</v>
      </c>
      <c r="D264" s="3">
        <v>144.19999999999999</v>
      </c>
      <c r="E264" s="4">
        <f t="shared" si="12"/>
        <v>-4.9814579066806891E-2</v>
      </c>
      <c r="F264" s="4">
        <f t="shared" si="14"/>
        <v>-5.5165075186917956E-3</v>
      </c>
      <c r="G264" s="4">
        <f t="shared" si="13"/>
        <v>-1.3949671772429024E-2</v>
      </c>
    </row>
    <row r="265" spans="1:7">
      <c r="A265" s="2">
        <v>45756</v>
      </c>
      <c r="B265" s="3">
        <v>197.99</v>
      </c>
      <c r="C265" s="3">
        <v>387.52</v>
      </c>
      <c r="D265" s="3">
        <v>158.16</v>
      </c>
      <c r="E265" s="4">
        <f t="shared" si="12"/>
        <v>0.15331741131240184</v>
      </c>
      <c r="F265" s="4">
        <f t="shared" si="14"/>
        <v>-9.207636425071752E-3</v>
      </c>
      <c r="G265" s="4">
        <f t="shared" si="13"/>
        <v>9.6809986130374545E-2</v>
      </c>
    </row>
    <row r="266" spans="1:7">
      <c r="A266" s="2">
        <v>45757</v>
      </c>
      <c r="B266" s="3">
        <v>189.59</v>
      </c>
      <c r="C266" s="3">
        <v>378.45</v>
      </c>
      <c r="D266" s="3">
        <v>152.29</v>
      </c>
      <c r="E266" s="4">
        <f t="shared" si="12"/>
        <v>-4.2426385170968257E-2</v>
      </c>
      <c r="F266" s="4">
        <f t="shared" si="14"/>
        <v>0.10131582686787728</v>
      </c>
      <c r="G266" s="4">
        <f t="shared" si="13"/>
        <v>-3.7114314618108275E-2</v>
      </c>
    </row>
    <row r="267" spans="1:7">
      <c r="A267" s="2">
        <v>45758</v>
      </c>
      <c r="B267" s="3">
        <v>197.29</v>
      </c>
      <c r="C267" s="3">
        <v>385.5</v>
      </c>
      <c r="D267" s="3">
        <v>156.6</v>
      </c>
      <c r="E267" s="4">
        <f t="shared" si="12"/>
        <v>4.0613956432301222E-2</v>
      </c>
      <c r="F267" s="4">
        <f t="shared" si="14"/>
        <v>-2.3405243600330288E-2</v>
      </c>
      <c r="G267" s="4">
        <f t="shared" si="13"/>
        <v>2.8301267318931005E-2</v>
      </c>
    </row>
    <row r="268" spans="1:7">
      <c r="A268" s="2">
        <v>45761</v>
      </c>
      <c r="B268" s="3">
        <v>201.64</v>
      </c>
      <c r="C268" s="3">
        <v>384.86</v>
      </c>
      <c r="D268" s="3">
        <v>158.52000000000001</v>
      </c>
      <c r="E268" s="4">
        <f t="shared" si="12"/>
        <v>2.2048760707587788E-2</v>
      </c>
      <c r="F268" s="4">
        <f t="shared" si="14"/>
        <v>1.8628616726119731E-2</v>
      </c>
      <c r="G268" s="4">
        <f t="shared" si="13"/>
        <v>1.2260536398467536E-2</v>
      </c>
    </row>
    <row r="269" spans="1:7">
      <c r="A269" s="2">
        <v>45762</v>
      </c>
      <c r="B269" s="3">
        <v>201.26</v>
      </c>
      <c r="C269" s="3">
        <v>382.8</v>
      </c>
      <c r="D269" s="3">
        <v>155.77000000000001</v>
      </c>
      <c r="E269" s="4">
        <f t="shared" si="12"/>
        <v>-1.8845467169212233E-3</v>
      </c>
      <c r="F269" s="4">
        <f t="shared" si="14"/>
        <v>-1.6601815823605354E-3</v>
      </c>
      <c r="G269" s="4">
        <f t="shared" si="13"/>
        <v>-1.7347968710572797E-2</v>
      </c>
    </row>
    <row r="270" spans="1:7">
      <c r="A270" s="2">
        <v>45763</v>
      </c>
      <c r="B270" s="3">
        <v>193.43</v>
      </c>
      <c r="C270" s="3">
        <v>368.79</v>
      </c>
      <c r="D270" s="3">
        <v>152.80000000000001</v>
      </c>
      <c r="E270" s="4">
        <f t="shared" si="12"/>
        <v>-3.8904899135446612E-2</v>
      </c>
      <c r="F270" s="4">
        <f t="shared" si="14"/>
        <v>-5.352595749103576E-3</v>
      </c>
      <c r="G270" s="4">
        <f t="shared" si="13"/>
        <v>-1.9066572510753024E-2</v>
      </c>
    </row>
    <row r="271" spans="1:7">
      <c r="A271" s="2">
        <v>45764</v>
      </c>
      <c r="B271" s="3">
        <v>196.13</v>
      </c>
      <c r="C271" s="3">
        <v>364.99</v>
      </c>
      <c r="D271" s="3">
        <v>150.63999999999999</v>
      </c>
      <c r="E271" s="4">
        <f t="shared" si="12"/>
        <v>1.3958537972393055E-2</v>
      </c>
      <c r="F271" s="4">
        <f t="shared" si="14"/>
        <v>-3.6598746081504679E-2</v>
      </c>
      <c r="G271" s="4">
        <f t="shared" si="13"/>
        <v>-1.4136125654450424E-2</v>
      </c>
    </row>
    <row r="272" spans="1:7">
      <c r="A272" s="2">
        <v>45768</v>
      </c>
      <c r="B272" s="3">
        <v>192.32</v>
      </c>
      <c r="C272" s="3">
        <v>356.39</v>
      </c>
      <c r="D272" s="3">
        <v>147.16</v>
      </c>
      <c r="E272" s="4">
        <f t="shared" si="12"/>
        <v>-1.9425890990669464E-2</v>
      </c>
      <c r="F272" s="4">
        <f t="shared" si="14"/>
        <v>-1.0303967027305542E-2</v>
      </c>
      <c r="G272" s="4">
        <f t="shared" si="13"/>
        <v>-2.3101433882102961E-2</v>
      </c>
    </row>
    <row r="273" spans="1:7">
      <c r="A273" s="2">
        <v>45769</v>
      </c>
      <c r="B273" s="3">
        <v>198.87</v>
      </c>
      <c r="C273" s="3">
        <v>364.03</v>
      </c>
      <c r="D273" s="3">
        <v>150.94999999999999</v>
      </c>
      <c r="E273" s="4">
        <f t="shared" si="12"/>
        <v>3.4057820299500892E-2</v>
      </c>
      <c r="F273" s="4">
        <f t="shared" si="14"/>
        <v>-2.3562289377791232E-2</v>
      </c>
      <c r="G273" s="4">
        <f t="shared" si="13"/>
        <v>2.5754281054634356E-2</v>
      </c>
    </row>
    <row r="274" spans="1:7">
      <c r="A274" s="2">
        <v>45770</v>
      </c>
      <c r="B274" s="3">
        <v>203.71</v>
      </c>
      <c r="C274" s="3">
        <v>371.55</v>
      </c>
      <c r="D274" s="3">
        <v>154.81</v>
      </c>
      <c r="E274" s="4">
        <f t="shared" si="12"/>
        <v>2.4337506914064482E-2</v>
      </c>
      <c r="F274" s="4">
        <f t="shared" si="14"/>
        <v>2.1437189595667629E-2</v>
      </c>
      <c r="G274" s="4">
        <f t="shared" si="13"/>
        <v>2.5571381252070313E-2</v>
      </c>
    </row>
    <row r="275" spans="1:7">
      <c r="A275" s="2">
        <v>45771</v>
      </c>
      <c r="B275" s="3">
        <v>207.47</v>
      </c>
      <c r="C275" s="3">
        <v>384.36</v>
      </c>
      <c r="D275" s="3">
        <v>158.72999999999999</v>
      </c>
      <c r="E275" s="4">
        <f t="shared" si="12"/>
        <v>1.8457611310195823E-2</v>
      </c>
      <c r="F275" s="4">
        <f t="shared" si="14"/>
        <v>2.0657638106749553E-2</v>
      </c>
      <c r="G275" s="4">
        <f t="shared" si="13"/>
        <v>2.5321361669142738E-2</v>
      </c>
    </row>
    <row r="276" spans="1:7">
      <c r="A276" s="2">
        <v>45772</v>
      </c>
      <c r="B276" s="3">
        <v>208.37</v>
      </c>
      <c r="C276" s="3">
        <v>388.87</v>
      </c>
      <c r="D276" s="3">
        <v>161.4</v>
      </c>
      <c r="E276" s="4">
        <f t="shared" si="12"/>
        <v>4.3379765749265225E-3</v>
      </c>
      <c r="F276" s="4">
        <f t="shared" si="14"/>
        <v>3.4477190149374247E-2</v>
      </c>
      <c r="G276" s="4">
        <f t="shared" si="13"/>
        <v>1.6821016821016922E-2</v>
      </c>
    </row>
    <row r="277" spans="1:7">
      <c r="A277" s="2">
        <v>45775</v>
      </c>
      <c r="B277" s="3">
        <v>209.23</v>
      </c>
      <c r="C277" s="3">
        <v>388.19</v>
      </c>
      <c r="D277" s="3">
        <v>160.06</v>
      </c>
      <c r="E277" s="4">
        <f t="shared" si="12"/>
        <v>4.1272735998463556E-3</v>
      </c>
      <c r="F277" s="4">
        <f t="shared" si="14"/>
        <v>1.1733791237381597E-2</v>
      </c>
      <c r="G277" s="4">
        <f t="shared" si="13"/>
        <v>-8.3023543990086955E-3</v>
      </c>
    </row>
    <row r="278" spans="1:7">
      <c r="A278" s="2">
        <v>45776</v>
      </c>
      <c r="B278" s="3">
        <v>210.29</v>
      </c>
      <c r="C278" s="3">
        <v>391.05</v>
      </c>
      <c r="D278" s="3">
        <v>159.61000000000001</v>
      </c>
      <c r="E278" s="4">
        <f t="shared" si="12"/>
        <v>5.0661950963055121E-3</v>
      </c>
      <c r="F278" s="4">
        <f t="shared" si="14"/>
        <v>-1.7486563633090926E-3</v>
      </c>
      <c r="G278" s="4">
        <f t="shared" si="13"/>
        <v>-2.8114457078594816E-3</v>
      </c>
    </row>
    <row r="279" spans="1:7">
      <c r="A279" s="2">
        <v>45777</v>
      </c>
      <c r="B279" s="3">
        <v>211.58</v>
      </c>
      <c r="C279" s="3">
        <v>392.26</v>
      </c>
      <c r="D279" s="3">
        <v>158.25</v>
      </c>
      <c r="E279" s="4">
        <f t="shared" si="12"/>
        <v>6.1343858481146063E-3</v>
      </c>
      <c r="F279" s="4">
        <f t="shared" si="14"/>
        <v>7.3675262113913646E-3</v>
      </c>
      <c r="G279" s="4">
        <f t="shared" si="13"/>
        <v>-8.520769375352507E-3</v>
      </c>
    </row>
    <row r="280" spans="1:7">
      <c r="A280" s="2">
        <v>45778</v>
      </c>
      <c r="B280" s="3">
        <v>212.39</v>
      </c>
      <c r="C280" s="3">
        <v>422.17</v>
      </c>
      <c r="D280" s="3">
        <v>160.74</v>
      </c>
      <c r="E280" s="4">
        <f t="shared" si="12"/>
        <v>3.8283391624916053E-3</v>
      </c>
      <c r="F280" s="4">
        <f t="shared" si="14"/>
        <v>3.094233473980257E-3</v>
      </c>
      <c r="G280" s="4">
        <f t="shared" si="13"/>
        <v>1.5734597156398161E-2</v>
      </c>
    </row>
    <row r="281" spans="1:7">
      <c r="A281" s="2">
        <v>45779</v>
      </c>
      <c r="B281" s="3">
        <v>204.46</v>
      </c>
      <c r="C281" s="3">
        <v>431.97</v>
      </c>
      <c r="D281" s="3">
        <v>163.46</v>
      </c>
      <c r="E281" s="4">
        <f t="shared" si="12"/>
        <v>-3.7336974433824471E-2</v>
      </c>
      <c r="F281" s="4">
        <f t="shared" si="14"/>
        <v>7.6250446132667168E-2</v>
      </c>
      <c r="G281" s="4">
        <f t="shared" si="13"/>
        <v>1.692173696652979E-2</v>
      </c>
    </row>
    <row r="282" spans="1:7">
      <c r="A282" s="2">
        <v>45782</v>
      </c>
      <c r="B282" s="3">
        <v>198.03</v>
      </c>
      <c r="C282" s="3">
        <v>432.86</v>
      </c>
      <c r="D282" s="3">
        <v>163.63999999999999</v>
      </c>
      <c r="E282" s="4">
        <f t="shared" si="12"/>
        <v>-3.1448694121099512E-2</v>
      </c>
      <c r="F282" s="4">
        <f t="shared" si="14"/>
        <v>2.3213397446526306E-2</v>
      </c>
      <c r="G282" s="4">
        <f t="shared" si="13"/>
        <v>1.1011868346994884E-3</v>
      </c>
    </row>
    <row r="283" spans="1:7">
      <c r="A283" s="2">
        <v>45783</v>
      </c>
      <c r="B283" s="3">
        <v>197.65</v>
      </c>
      <c r="C283" s="3">
        <v>430.02</v>
      </c>
      <c r="D283" s="3">
        <v>162.66999999999999</v>
      </c>
      <c r="E283" s="4">
        <f t="shared" si="12"/>
        <v>-1.9189011765893826E-3</v>
      </c>
      <c r="F283" s="4">
        <f t="shared" si="14"/>
        <v>2.060328263536788E-3</v>
      </c>
      <c r="G283" s="4">
        <f t="shared" si="13"/>
        <v>-5.9276460523099419E-3</v>
      </c>
    </row>
    <row r="284" spans="1:7">
      <c r="A284" s="2">
        <v>45784</v>
      </c>
      <c r="B284" s="3">
        <v>195.4</v>
      </c>
      <c r="C284" s="3">
        <v>430.06</v>
      </c>
      <c r="D284" s="3">
        <v>150.86000000000001</v>
      </c>
      <c r="E284" s="4">
        <f t="shared" si="12"/>
        <v>-1.1383759170250442E-2</v>
      </c>
      <c r="F284" s="4">
        <f t="shared" si="14"/>
        <v>-6.5610127985954621E-3</v>
      </c>
      <c r="G284" s="4">
        <f t="shared" si="13"/>
        <v>-7.2600971291571739E-2</v>
      </c>
    </row>
    <row r="285" spans="1:7">
      <c r="A285" s="2">
        <v>45785</v>
      </c>
      <c r="B285" s="3">
        <v>196.63</v>
      </c>
      <c r="C285" s="3">
        <v>434.84</v>
      </c>
      <c r="D285" s="3">
        <v>153.75</v>
      </c>
      <c r="E285" s="4">
        <f t="shared" si="12"/>
        <v>6.2947799385874598E-3</v>
      </c>
      <c r="F285" s="4">
        <f t="shared" si="14"/>
        <v>9.301892935217075E-5</v>
      </c>
      <c r="G285" s="4">
        <f t="shared" si="13"/>
        <v>1.9156834150868263E-2</v>
      </c>
    </row>
    <row r="286" spans="1:7">
      <c r="A286" s="2">
        <v>45786</v>
      </c>
      <c r="B286" s="3">
        <v>197.67</v>
      </c>
      <c r="C286" s="3">
        <v>435.4</v>
      </c>
      <c r="D286" s="3">
        <v>152.22</v>
      </c>
      <c r="E286" s="4">
        <f t="shared" si="12"/>
        <v>5.289121700656014E-3</v>
      </c>
      <c r="F286" s="4">
        <f t="shared" si="14"/>
        <v>1.1114728177463546E-2</v>
      </c>
      <c r="G286" s="4">
        <f t="shared" si="13"/>
        <v>-9.9512195121951291E-3</v>
      </c>
    </row>
    <row r="287" spans="1:7">
      <c r="A287" s="2">
        <v>45789</v>
      </c>
      <c r="B287" s="3">
        <v>210.15</v>
      </c>
      <c r="C287" s="3">
        <v>445.85</v>
      </c>
      <c r="D287" s="3">
        <v>157.91</v>
      </c>
      <c r="E287" s="4">
        <f t="shared" si="12"/>
        <v>6.3135528911822836E-2</v>
      </c>
      <c r="F287" s="4">
        <f t="shared" si="14"/>
        <v>1.2878300064391554E-3</v>
      </c>
      <c r="G287" s="4">
        <f t="shared" si="13"/>
        <v>3.7380107738799094E-2</v>
      </c>
    </row>
    <row r="288" spans="1:7">
      <c r="A288" s="2">
        <v>45790</v>
      </c>
      <c r="B288" s="3">
        <v>212.28</v>
      </c>
      <c r="C288" s="3">
        <v>445.73</v>
      </c>
      <c r="D288" s="3">
        <v>158.97999999999999</v>
      </c>
      <c r="E288" s="4">
        <f t="shared" si="12"/>
        <v>1.0135617416131313E-2</v>
      </c>
      <c r="F288" s="4">
        <f t="shared" si="14"/>
        <v>2.4000918695452563E-2</v>
      </c>
      <c r="G288" s="4">
        <f t="shared" si="13"/>
        <v>6.7760116522069102E-3</v>
      </c>
    </row>
    <row r="289" spans="1:7">
      <c r="A289" s="2">
        <v>45791</v>
      </c>
      <c r="B289" s="3">
        <v>211.69</v>
      </c>
      <c r="C289" s="3">
        <v>449.5</v>
      </c>
      <c r="D289" s="3">
        <v>164.8</v>
      </c>
      <c r="E289" s="4">
        <f t="shared" si="12"/>
        <v>-2.7793480309025974E-3</v>
      </c>
      <c r="F289" s="4">
        <f t="shared" si="14"/>
        <v>-2.6914881686666939E-4</v>
      </c>
      <c r="G289" s="4">
        <f t="shared" si="13"/>
        <v>3.6608378412379051E-2</v>
      </c>
    </row>
    <row r="290" spans="1:7">
      <c r="A290" s="2">
        <v>45792</v>
      </c>
      <c r="B290" s="3">
        <v>210.81</v>
      </c>
      <c r="C290" s="3">
        <v>450.51</v>
      </c>
      <c r="D290" s="3">
        <v>163.38999999999999</v>
      </c>
      <c r="E290" s="4">
        <f t="shared" si="12"/>
        <v>-4.157022060560232E-3</v>
      </c>
      <c r="F290" s="4">
        <f t="shared" si="14"/>
        <v>8.4580351333766665E-3</v>
      </c>
      <c r="G290" s="4">
        <f t="shared" si="13"/>
        <v>-8.5558252427185982E-3</v>
      </c>
    </row>
    <row r="291" spans="1:7">
      <c r="A291" s="2">
        <v>45793</v>
      </c>
      <c r="B291" s="3">
        <v>210.62</v>
      </c>
      <c r="C291" s="3">
        <v>451.65</v>
      </c>
      <c r="D291" s="3">
        <v>165.62</v>
      </c>
      <c r="E291" s="4">
        <f t="shared" si="12"/>
        <v>-9.0128551776480113E-4</v>
      </c>
      <c r="F291" s="4">
        <f t="shared" si="14"/>
        <v>2.246941045606209E-3</v>
      </c>
      <c r="G291" s="4">
        <f t="shared" si="13"/>
        <v>1.3648326090948151E-2</v>
      </c>
    </row>
    <row r="292" spans="1:7">
      <c r="A292" s="2">
        <v>45796</v>
      </c>
      <c r="B292" s="3">
        <v>208.15</v>
      </c>
      <c r="C292" s="3">
        <v>456.22</v>
      </c>
      <c r="D292" s="3">
        <v>165.96</v>
      </c>
      <c r="E292" s="4">
        <f t="shared" si="12"/>
        <v>-1.1727281359794886E-2</v>
      </c>
      <c r="F292" s="4">
        <f t="shared" si="14"/>
        <v>2.5304654724645098E-3</v>
      </c>
      <c r="G292" s="4">
        <f t="shared" si="13"/>
        <v>2.052892162782293E-3</v>
      </c>
    </row>
    <row r="293" spans="1:7">
      <c r="A293" s="2">
        <v>45797</v>
      </c>
      <c r="B293" s="3">
        <v>206.23</v>
      </c>
      <c r="C293" s="3">
        <v>455.52</v>
      </c>
      <c r="D293" s="3">
        <v>163.41</v>
      </c>
      <c r="E293" s="4">
        <f t="shared" si="12"/>
        <v>-9.2241172231564538E-3</v>
      </c>
      <c r="F293" s="4">
        <f t="shared" si="14"/>
        <v>1.0118454555518765E-2</v>
      </c>
      <c r="G293" s="4">
        <f t="shared" si="13"/>
        <v>-1.536514822848886E-2</v>
      </c>
    </row>
    <row r="294" spans="1:7">
      <c r="A294" s="2">
        <v>45798</v>
      </c>
      <c r="B294" s="3">
        <v>201.48</v>
      </c>
      <c r="C294" s="3">
        <v>449.96</v>
      </c>
      <c r="D294" s="3">
        <v>167.98</v>
      </c>
      <c r="E294" s="4">
        <f t="shared" si="12"/>
        <v>-2.3032536488386754E-2</v>
      </c>
      <c r="F294" s="4">
        <f t="shared" si="14"/>
        <v>-1.5343474639429341E-3</v>
      </c>
      <c r="G294" s="4">
        <f t="shared" si="13"/>
        <v>2.796646472064129E-2</v>
      </c>
    </row>
    <row r="295" spans="1:7">
      <c r="A295" s="2">
        <v>45799</v>
      </c>
      <c r="B295" s="3">
        <v>200.75</v>
      </c>
      <c r="C295" s="3">
        <v>452.23</v>
      </c>
      <c r="D295" s="3">
        <v>170.28</v>
      </c>
      <c r="E295" s="4">
        <f t="shared" si="12"/>
        <v>-3.6231884057970508E-3</v>
      </c>
      <c r="F295" s="4">
        <f t="shared" si="14"/>
        <v>-1.2205830698981389E-2</v>
      </c>
      <c r="G295" s="4">
        <f t="shared" si="13"/>
        <v>1.3692106203119487E-2</v>
      </c>
    </row>
    <row r="296" spans="1:7">
      <c r="A296" s="2">
        <v>45800</v>
      </c>
      <c r="B296" s="3">
        <v>194.68</v>
      </c>
      <c r="C296" s="3">
        <v>447.58</v>
      </c>
      <c r="D296" s="3">
        <v>167.89</v>
      </c>
      <c r="E296" s="4">
        <f t="shared" si="12"/>
        <v>-3.0236612702366092E-2</v>
      </c>
      <c r="F296" s="4">
        <f t="shared" si="14"/>
        <v>5.0448928793671412E-3</v>
      </c>
      <c r="G296" s="4">
        <f t="shared" si="13"/>
        <v>-1.40357058961711E-2</v>
      </c>
    </row>
    <row r="297" spans="1:7">
      <c r="A297" s="2">
        <v>45804</v>
      </c>
      <c r="B297" s="3">
        <v>199.6</v>
      </c>
      <c r="C297" s="3">
        <v>458.03</v>
      </c>
      <c r="D297" s="3">
        <v>172.3</v>
      </c>
      <c r="E297" s="4">
        <f t="shared" si="12"/>
        <v>2.5272241627285738E-2</v>
      </c>
      <c r="F297" s="4">
        <f t="shared" si="14"/>
        <v>-1.0282378435751794E-2</v>
      </c>
      <c r="G297" s="4">
        <f t="shared" si="13"/>
        <v>2.6267198761093725E-2</v>
      </c>
    </row>
    <row r="298" spans="1:7">
      <c r="A298" s="2">
        <v>45805</v>
      </c>
      <c r="B298" s="3">
        <v>199.81</v>
      </c>
      <c r="C298" s="3">
        <v>454.72</v>
      </c>
      <c r="D298" s="3">
        <v>171.76</v>
      </c>
      <c r="E298" s="4">
        <f t="shared" si="12"/>
        <v>1.0521042084168735E-3</v>
      </c>
      <c r="F298" s="4">
        <f t="shared" si="14"/>
        <v>2.3347781402207401E-2</v>
      </c>
      <c r="G298" s="4">
        <f t="shared" si="13"/>
        <v>-3.1340684852003507E-3</v>
      </c>
    </row>
    <row r="299" spans="1:7">
      <c r="A299" s="2">
        <v>45806</v>
      </c>
      <c r="B299" s="3">
        <v>199.34</v>
      </c>
      <c r="C299" s="3">
        <v>456.03</v>
      </c>
      <c r="D299" s="3">
        <v>171.27</v>
      </c>
      <c r="E299" s="4">
        <f t="shared" si="12"/>
        <v>-2.3522346228917416E-3</v>
      </c>
      <c r="F299" s="4">
        <f t="shared" si="14"/>
        <v>-7.2266008776716495E-3</v>
      </c>
      <c r="G299" s="4">
        <f t="shared" si="13"/>
        <v>-2.852817885421406E-3</v>
      </c>
    </row>
    <row r="300" spans="1:7">
      <c r="A300" s="2">
        <v>45807</v>
      </c>
      <c r="B300" s="3">
        <v>200.24</v>
      </c>
      <c r="C300" s="3">
        <v>457.7</v>
      </c>
      <c r="D300" s="3">
        <v>171.15</v>
      </c>
      <c r="E300" s="4">
        <f t="shared" si="12"/>
        <v>4.5148991672519598E-3</v>
      </c>
      <c r="F300" s="4">
        <f t="shared" si="14"/>
        <v>2.8808937368049467E-3</v>
      </c>
      <c r="G300" s="4">
        <f t="shared" si="13"/>
        <v>-7.0064809949205663E-4</v>
      </c>
    </row>
    <row r="301" spans="1:7">
      <c r="A301" s="2">
        <v>45810</v>
      </c>
      <c r="B301" s="3">
        <v>201.09</v>
      </c>
      <c r="C301" s="3">
        <v>459.3</v>
      </c>
      <c r="D301" s="3">
        <v>168.45</v>
      </c>
      <c r="E301" s="4">
        <f t="shared" si="12"/>
        <v>4.2449061126647739E-3</v>
      </c>
      <c r="F301" s="4">
        <f t="shared" si="14"/>
        <v>3.6620397780848103E-3</v>
      </c>
      <c r="G301" s="4">
        <f t="shared" si="13"/>
        <v>-1.5775635407537347E-2</v>
      </c>
    </row>
    <row r="302" spans="1:7">
      <c r="A302" s="2">
        <v>45811</v>
      </c>
      <c r="B302" s="3">
        <v>202.65</v>
      </c>
      <c r="C302" s="3">
        <v>460.3</v>
      </c>
      <c r="D302" s="3">
        <v>165.61</v>
      </c>
      <c r="E302" s="4">
        <f t="shared" si="12"/>
        <v>7.7577204236908958E-3</v>
      </c>
      <c r="F302" s="4">
        <f t="shared" si="14"/>
        <v>3.4957395674022783E-3</v>
      </c>
      <c r="G302" s="4">
        <f t="shared" si="13"/>
        <v>-1.6859602255862128E-2</v>
      </c>
    </row>
    <row r="303" spans="1:7">
      <c r="A303" s="2">
        <v>45812</v>
      </c>
      <c r="B303" s="3">
        <v>202.2</v>
      </c>
      <c r="C303" s="3">
        <v>461.19</v>
      </c>
      <c r="D303" s="3">
        <v>167.47</v>
      </c>
      <c r="E303" s="4">
        <f t="shared" si="12"/>
        <v>-2.2205773501111129E-3</v>
      </c>
      <c r="F303" s="4">
        <f t="shared" si="14"/>
        <v>2.1772262138036141E-3</v>
      </c>
      <c r="G303" s="4">
        <f t="shared" si="13"/>
        <v>1.1231205845057575E-2</v>
      </c>
    </row>
    <row r="304" spans="1:7">
      <c r="A304" s="2">
        <v>45813</v>
      </c>
      <c r="B304" s="3">
        <v>200.02</v>
      </c>
      <c r="C304" s="3">
        <v>464.98</v>
      </c>
      <c r="D304" s="3">
        <v>167.63</v>
      </c>
      <c r="E304" s="4">
        <f t="shared" si="12"/>
        <v>-1.0781404549950437E-2</v>
      </c>
      <c r="F304" s="4">
        <f t="shared" si="14"/>
        <v>1.9335216163371418E-3</v>
      </c>
      <c r="G304" s="4">
        <f t="shared" si="13"/>
        <v>9.5539499611868746E-4</v>
      </c>
    </row>
    <row r="305" spans="1:7">
      <c r="A305" s="2">
        <v>45814</v>
      </c>
      <c r="B305" s="3">
        <v>203.3</v>
      </c>
      <c r="C305" s="3">
        <v>467.66</v>
      </c>
      <c r="D305" s="3">
        <v>173.08</v>
      </c>
      <c r="E305" s="4">
        <f t="shared" si="12"/>
        <v>1.6398360163983605E-2</v>
      </c>
      <c r="F305" s="4">
        <f t="shared" si="14"/>
        <v>8.2178711593920515E-3</v>
      </c>
      <c r="G305" s="4">
        <f t="shared" si="13"/>
        <v>3.2512080176579472E-2</v>
      </c>
    </row>
    <row r="306" spans="1:7">
      <c r="A306" s="2">
        <v>45817</v>
      </c>
      <c r="B306" s="3">
        <v>200.84</v>
      </c>
      <c r="C306" s="3">
        <v>470.02</v>
      </c>
      <c r="D306" s="3">
        <v>175.69</v>
      </c>
      <c r="E306" s="4">
        <f t="shared" si="12"/>
        <v>-1.2100344318740816E-2</v>
      </c>
      <c r="F306" s="4">
        <f t="shared" si="14"/>
        <v>5.7636887608069308E-3</v>
      </c>
      <c r="G306" s="4">
        <f t="shared" si="13"/>
        <v>1.5079731915876965E-2</v>
      </c>
    </row>
    <row r="307" spans="1:7">
      <c r="A307" s="2">
        <v>45818</v>
      </c>
      <c r="B307" s="3">
        <v>202.06</v>
      </c>
      <c r="C307" s="3">
        <v>468.2</v>
      </c>
      <c r="D307" s="3">
        <v>178.2</v>
      </c>
      <c r="E307" s="4">
        <f t="shared" si="12"/>
        <v>6.0744871539533899E-3</v>
      </c>
      <c r="F307" s="4">
        <f t="shared" si="14"/>
        <v>5.046401231663937E-3</v>
      </c>
      <c r="G307" s="4">
        <f t="shared" si="13"/>
        <v>1.4286527406226825E-2</v>
      </c>
    </row>
    <row r="308" spans="1:7">
      <c r="A308" s="2">
        <v>45819</v>
      </c>
      <c r="B308" s="3">
        <v>198.18</v>
      </c>
      <c r="C308" s="3">
        <v>469.89</v>
      </c>
      <c r="D308" s="3">
        <v>176.95</v>
      </c>
      <c r="E308" s="4">
        <f t="shared" si="12"/>
        <v>-1.9202217163218824E-2</v>
      </c>
      <c r="F308" s="4">
        <f t="shared" si="14"/>
        <v>-3.8721756520998965E-3</v>
      </c>
      <c r="G308" s="4">
        <f t="shared" si="13"/>
        <v>-7.0145903479236814E-3</v>
      </c>
    </row>
    <row r="309" spans="1:7">
      <c r="A309" s="2">
        <v>45820</v>
      </c>
      <c r="B309" s="3">
        <v>198.6</v>
      </c>
      <c r="C309" s="3">
        <v>476.1</v>
      </c>
      <c r="D309" s="3">
        <v>175.3</v>
      </c>
      <c r="E309" s="4">
        <f t="shared" si="12"/>
        <v>2.1192854980320291E-3</v>
      </c>
      <c r="F309" s="4">
        <f t="shared" si="14"/>
        <v>3.6095685604442497E-3</v>
      </c>
      <c r="G309" s="4">
        <f t="shared" si="13"/>
        <v>-9.3246679853064562E-3</v>
      </c>
    </row>
    <row r="310" spans="1:7">
      <c r="A310" s="2">
        <v>45821</v>
      </c>
      <c r="B310" s="3">
        <v>195.85</v>
      </c>
      <c r="C310" s="3">
        <v>472.22</v>
      </c>
      <c r="D310" s="3">
        <v>174.28</v>
      </c>
      <c r="E310" s="4">
        <f t="shared" si="12"/>
        <v>-1.3846928499496475E-2</v>
      </c>
      <c r="F310" s="4">
        <f t="shared" si="14"/>
        <v>1.3215859030837083E-2</v>
      </c>
      <c r="G310" s="4">
        <f t="shared" si="13"/>
        <v>-5.8185966913862535E-3</v>
      </c>
    </row>
    <row r="311" spans="1:7">
      <c r="A311" s="2">
        <v>45824</v>
      </c>
      <c r="B311" s="3">
        <v>197.82</v>
      </c>
      <c r="C311" s="3">
        <v>476.37</v>
      </c>
      <c r="D311" s="3">
        <v>176.37</v>
      </c>
      <c r="E311" s="4">
        <f t="shared" si="12"/>
        <v>1.0058718406944084E-2</v>
      </c>
      <c r="F311" s="4">
        <f t="shared" si="14"/>
        <v>-8.149548414198687E-3</v>
      </c>
      <c r="G311" s="4">
        <f t="shared" si="13"/>
        <v>1.1992196465457903E-2</v>
      </c>
    </row>
    <row r="312" spans="1:7">
      <c r="A312" s="2">
        <v>45825</v>
      </c>
      <c r="B312" s="3">
        <v>195.05</v>
      </c>
      <c r="C312" s="3">
        <v>475.28</v>
      </c>
      <c r="D312" s="3">
        <v>175.55</v>
      </c>
      <c r="E312" s="4">
        <f t="shared" si="12"/>
        <v>-1.4002628652310089E-2</v>
      </c>
      <c r="F312" s="4">
        <f t="shared" si="14"/>
        <v>8.7882766507136022E-3</v>
      </c>
      <c r="G312" s="4">
        <f t="shared" si="13"/>
        <v>-4.6493167772296484E-3</v>
      </c>
    </row>
    <row r="313" spans="1:7">
      <c r="A313" s="2">
        <v>45826</v>
      </c>
      <c r="B313" s="3">
        <v>195.98</v>
      </c>
      <c r="C313" s="3">
        <v>477.47</v>
      </c>
      <c r="D313" s="3">
        <v>172.93</v>
      </c>
      <c r="E313" s="4">
        <f t="shared" si="12"/>
        <v>4.7680082030247548E-3</v>
      </c>
      <c r="F313" s="4">
        <f t="shared" si="14"/>
        <v>-2.2881373722107435E-3</v>
      </c>
      <c r="G313" s="4">
        <f t="shared" si="13"/>
        <v>-1.4924522927940782E-2</v>
      </c>
    </row>
    <row r="314" spans="1:7">
      <c r="A314" s="2">
        <v>45828</v>
      </c>
      <c r="B314" s="3">
        <v>200.39</v>
      </c>
      <c r="C314" s="3">
        <v>474.64</v>
      </c>
      <c r="D314" s="3">
        <v>166.27</v>
      </c>
      <c r="E314" s="4">
        <f t="shared" si="12"/>
        <v>2.2502296152668622E-2</v>
      </c>
      <c r="F314" s="4">
        <f t="shared" si="14"/>
        <v>4.6078101329743619E-3</v>
      </c>
      <c r="G314" s="4">
        <f t="shared" si="13"/>
        <v>-3.8512692997166462E-2</v>
      </c>
    </row>
    <row r="315" spans="1:7">
      <c r="A315" s="2">
        <v>45831</v>
      </c>
      <c r="B315" s="3">
        <v>200.89</v>
      </c>
      <c r="C315" s="3">
        <v>483.19</v>
      </c>
      <c r="D315" s="3">
        <v>164.82</v>
      </c>
      <c r="E315" s="4">
        <f t="shared" si="12"/>
        <v>2.4951344877488899E-3</v>
      </c>
      <c r="F315" s="4">
        <f t="shared" si="14"/>
        <v>-5.9270739522902819E-3</v>
      </c>
      <c r="G315" s="4">
        <f t="shared" si="13"/>
        <v>-8.7207553978469778E-3</v>
      </c>
    </row>
    <row r="316" spans="1:7">
      <c r="A316" s="2">
        <v>45832</v>
      </c>
      <c r="B316" s="3">
        <v>199.69</v>
      </c>
      <c r="C316" s="3">
        <v>487.28</v>
      </c>
      <c r="D316" s="3">
        <v>166.39</v>
      </c>
      <c r="E316" s="4">
        <f t="shared" si="12"/>
        <v>-5.9734182886156039E-3</v>
      </c>
      <c r="F316" s="4">
        <f t="shared" si="14"/>
        <v>1.8013652452384989E-2</v>
      </c>
      <c r="G316" s="4">
        <f t="shared" si="13"/>
        <v>9.5255430166241543E-3</v>
      </c>
    </row>
    <row r="317" spans="1:7">
      <c r="A317" s="2">
        <v>45833</v>
      </c>
      <c r="B317" s="3">
        <v>200.95</v>
      </c>
      <c r="C317" s="3">
        <v>489.43</v>
      </c>
      <c r="D317" s="3">
        <v>170.3</v>
      </c>
      <c r="E317" s="4">
        <f t="shared" si="12"/>
        <v>6.3097801592467868E-3</v>
      </c>
      <c r="F317" s="4">
        <f t="shared" si="14"/>
        <v>8.4645791510585388E-3</v>
      </c>
      <c r="G317" s="4">
        <f t="shared" si="13"/>
        <v>2.3499008353867572E-2</v>
      </c>
    </row>
    <row r="318" spans="1:7">
      <c r="A318" s="2">
        <v>45834</v>
      </c>
      <c r="B318" s="3">
        <v>200.39</v>
      </c>
      <c r="C318" s="3">
        <v>494.58</v>
      </c>
      <c r="D318" s="3">
        <v>173.15</v>
      </c>
      <c r="E318" s="4">
        <f t="shared" si="12"/>
        <v>-2.7867628763374088E-3</v>
      </c>
      <c r="F318" s="4">
        <f t="shared" si="14"/>
        <v>4.4122475783944229E-3</v>
      </c>
      <c r="G318" s="4">
        <f t="shared" si="13"/>
        <v>1.6735173223722807E-2</v>
      </c>
    </row>
    <row r="319" spans="1:7">
      <c r="A319" s="2">
        <v>45835</v>
      </c>
      <c r="B319" s="3">
        <v>200.47</v>
      </c>
      <c r="C319" s="3">
        <v>493.08</v>
      </c>
      <c r="D319" s="3">
        <v>178.13</v>
      </c>
      <c r="E319" s="4">
        <f t="shared" si="12"/>
        <v>3.9922151803988476E-4</v>
      </c>
      <c r="F319" s="4">
        <f t="shared" si="14"/>
        <v>1.0522444476227402E-2</v>
      </c>
      <c r="G319" s="4">
        <f t="shared" si="13"/>
        <v>2.8761189719895983E-2</v>
      </c>
    </row>
    <row r="320" spans="1:7">
      <c r="A320" s="2">
        <v>45838</v>
      </c>
      <c r="B320" s="3">
        <v>204.55</v>
      </c>
      <c r="C320" s="3">
        <v>494.54</v>
      </c>
      <c r="D320" s="3">
        <v>175.83</v>
      </c>
      <c r="E320" s="4">
        <f t="shared" si="12"/>
        <v>2.0352172394872112E-2</v>
      </c>
      <c r="F320" s="4">
        <f t="shared" si="14"/>
        <v>-3.0328763799587532E-3</v>
      </c>
      <c r="G320" s="4">
        <f t="shared" si="13"/>
        <v>-1.2911918261943428E-2</v>
      </c>
    </row>
    <row r="321" spans="1:7">
      <c r="A321" s="2">
        <v>45839</v>
      </c>
      <c r="B321" s="3">
        <v>207.19</v>
      </c>
      <c r="C321" s="3">
        <v>489.21</v>
      </c>
      <c r="D321" s="3">
        <v>175.44</v>
      </c>
      <c r="E321" s="4">
        <f t="shared" si="12"/>
        <v>1.2906379858225306E-2</v>
      </c>
      <c r="F321" s="4">
        <f t="shared" si="14"/>
        <v>2.9609799626836141E-3</v>
      </c>
      <c r="G321" s="4">
        <f t="shared" si="13"/>
        <v>-2.2180515270432506E-3</v>
      </c>
    </row>
    <row r="322" spans="1:7">
      <c r="A322" s="2">
        <v>45840</v>
      </c>
      <c r="B322" s="3">
        <v>211.8</v>
      </c>
      <c r="C322" s="3">
        <v>488.25</v>
      </c>
      <c r="D322" s="3">
        <v>178.24</v>
      </c>
      <c r="E322" s="4">
        <f t="shared" si="12"/>
        <v>2.2250108595974774E-2</v>
      </c>
      <c r="F322" s="4">
        <f t="shared" si="14"/>
        <v>-1.0777692401019211E-2</v>
      </c>
      <c r="G322" s="4">
        <f t="shared" si="13"/>
        <v>1.5959872321021498E-2</v>
      </c>
    </row>
    <row r="323" spans="1:7">
      <c r="A323" s="2">
        <v>45841</v>
      </c>
      <c r="B323" s="3">
        <v>212.9</v>
      </c>
      <c r="C323" s="3">
        <v>495.96</v>
      </c>
      <c r="D323" s="3">
        <v>179.13</v>
      </c>
      <c r="E323" s="4">
        <f t="shared" si="12"/>
        <v>5.193578847969756E-3</v>
      </c>
      <c r="F323" s="4">
        <f t="shared" si="14"/>
        <v>-1.9623474581467663E-3</v>
      </c>
      <c r="G323" s="4">
        <f t="shared" si="13"/>
        <v>4.9932675044882533E-3</v>
      </c>
    </row>
    <row r="324" spans="1:7">
      <c r="A324" s="2">
        <v>45845</v>
      </c>
      <c r="B324" s="3">
        <v>209.31</v>
      </c>
      <c r="C324" s="3">
        <v>494.85</v>
      </c>
      <c r="D324" s="3">
        <v>176.39</v>
      </c>
      <c r="E324" s="4">
        <f t="shared" ref="E324:E387" si="15">(B324-B323)/B323</f>
        <v>-1.6862376702677328E-2</v>
      </c>
      <c r="F324" s="4">
        <f t="shared" si="14"/>
        <v>1.5791090629800265E-2</v>
      </c>
      <c r="G324" s="4">
        <f t="shared" ref="G324:G387" si="16">(D324-D323)/D323</f>
        <v>-1.5296153631440905E-2</v>
      </c>
    </row>
    <row r="325" spans="1:7">
      <c r="A325" s="2">
        <v>45846</v>
      </c>
      <c r="B325" s="3">
        <v>209.37</v>
      </c>
      <c r="C325" s="3">
        <v>493.75</v>
      </c>
      <c r="D325" s="3">
        <v>173.97</v>
      </c>
      <c r="E325" s="4">
        <f t="shared" si="15"/>
        <v>2.8665615594095968E-4</v>
      </c>
      <c r="F325" s="4">
        <f t="shared" ref="F325:F388" si="17">(C324-C323)/C323</f>
        <v>-2.2380837164286574E-3</v>
      </c>
      <c r="G325" s="4">
        <f t="shared" si="16"/>
        <v>-1.3719598616701557E-2</v>
      </c>
    </row>
    <row r="326" spans="1:7">
      <c r="A326" s="2">
        <v>45847</v>
      </c>
      <c r="B326" s="3">
        <v>210.5</v>
      </c>
      <c r="C326" s="3">
        <v>500.6</v>
      </c>
      <c r="D326" s="3">
        <v>176.22</v>
      </c>
      <c r="E326" s="4">
        <f t="shared" si="15"/>
        <v>5.3971438123895281E-3</v>
      </c>
      <c r="F326" s="4">
        <f t="shared" si="17"/>
        <v>-2.2228958270183344E-3</v>
      </c>
      <c r="G326" s="4">
        <f t="shared" si="16"/>
        <v>1.2933264355923435E-2</v>
      </c>
    </row>
    <row r="327" spans="1:7">
      <c r="A327" s="2">
        <v>45848</v>
      </c>
      <c r="B327" s="3">
        <v>211.77</v>
      </c>
      <c r="C327" s="3">
        <v>498.58</v>
      </c>
      <c r="D327" s="3">
        <v>177.22</v>
      </c>
      <c r="E327" s="4">
        <f t="shared" si="15"/>
        <v>6.0332541567696451E-3</v>
      </c>
      <c r="F327" s="4">
        <f t="shared" si="17"/>
        <v>1.3873417721519033E-2</v>
      </c>
      <c r="G327" s="4">
        <f t="shared" si="16"/>
        <v>5.6747247758483716E-3</v>
      </c>
    </row>
    <row r="328" spans="1:7">
      <c r="A328" s="2">
        <v>45849</v>
      </c>
      <c r="B328" s="3">
        <v>210.52</v>
      </c>
      <c r="C328" s="3">
        <v>500.41</v>
      </c>
      <c r="D328" s="3">
        <v>179.78</v>
      </c>
      <c r="E328" s="4">
        <f t="shared" si="15"/>
        <v>-5.9026302120224767E-3</v>
      </c>
      <c r="F328" s="4">
        <f t="shared" si="17"/>
        <v>-4.0351578106273241E-3</v>
      </c>
      <c r="G328" s="4">
        <f t="shared" si="16"/>
        <v>1.4445322198397484E-2</v>
      </c>
    </row>
    <row r="329" spans="1:7">
      <c r="A329" s="2">
        <v>45852</v>
      </c>
      <c r="B329" s="3">
        <v>207.99</v>
      </c>
      <c r="C329" s="3">
        <v>500.11</v>
      </c>
      <c r="D329" s="3">
        <v>181.15</v>
      </c>
      <c r="E329" s="4">
        <f t="shared" si="15"/>
        <v>-1.2017860535816079E-2</v>
      </c>
      <c r="F329" s="4">
        <f t="shared" si="17"/>
        <v>3.6704240041719304E-3</v>
      </c>
      <c r="G329" s="4">
        <f t="shared" si="16"/>
        <v>7.6204249638447243E-3</v>
      </c>
    </row>
    <row r="330" spans="1:7">
      <c r="A330" s="2">
        <v>45853</v>
      </c>
      <c r="B330" s="3">
        <v>208.48</v>
      </c>
      <c r="C330" s="3">
        <v>502.9</v>
      </c>
      <c r="D330" s="3">
        <v>181.59</v>
      </c>
      <c r="E330" s="4">
        <f t="shared" si="15"/>
        <v>2.355882494350597E-3</v>
      </c>
      <c r="F330" s="4">
        <f t="shared" si="17"/>
        <v>-5.9950840310947289E-4</v>
      </c>
      <c r="G330" s="4">
        <f t="shared" si="16"/>
        <v>2.4289263041678043E-3</v>
      </c>
    </row>
    <row r="331" spans="1:7">
      <c r="A331" s="2">
        <v>45854</v>
      </c>
      <c r="B331" s="3">
        <v>209.52</v>
      </c>
      <c r="C331" s="3">
        <v>502.7</v>
      </c>
      <c r="D331" s="3">
        <v>182.56</v>
      </c>
      <c r="E331" s="4">
        <f t="shared" si="15"/>
        <v>4.9884881043746184E-3</v>
      </c>
      <c r="F331" s="4">
        <f t="shared" si="17"/>
        <v>5.5787726700125247E-3</v>
      </c>
      <c r="G331" s="4">
        <f t="shared" si="16"/>
        <v>5.3417038383170813E-3</v>
      </c>
    </row>
    <row r="332" spans="1:7">
      <c r="A332" s="2">
        <v>45855</v>
      </c>
      <c r="B332" s="3">
        <v>209.38</v>
      </c>
      <c r="C332" s="3">
        <v>508.74</v>
      </c>
      <c r="D332" s="3">
        <v>183.17</v>
      </c>
      <c r="E332" s="4">
        <f t="shared" si="15"/>
        <v>-6.6819396716310988E-4</v>
      </c>
      <c r="F332" s="4">
        <f t="shared" si="17"/>
        <v>-3.9769337840522698E-4</v>
      </c>
      <c r="G332" s="4">
        <f t="shared" si="16"/>
        <v>3.3413672217352387E-3</v>
      </c>
    </row>
    <row r="333" spans="1:7">
      <c r="A333" s="2">
        <v>45856</v>
      </c>
      <c r="B333" s="3">
        <v>210.54</v>
      </c>
      <c r="C333" s="3">
        <v>507.1</v>
      </c>
      <c r="D333" s="3">
        <v>184.64</v>
      </c>
      <c r="E333" s="4">
        <f t="shared" si="15"/>
        <v>5.5401662049861331E-3</v>
      </c>
      <c r="F333" s="4">
        <f t="shared" si="17"/>
        <v>1.2015118360851444E-2</v>
      </c>
      <c r="G333" s="4">
        <f t="shared" si="16"/>
        <v>8.0253316591144784E-3</v>
      </c>
    </row>
    <row r="334" spans="1:7">
      <c r="A334" s="2">
        <v>45859</v>
      </c>
      <c r="B334" s="3">
        <v>211.84</v>
      </c>
      <c r="C334" s="3">
        <v>507.11</v>
      </c>
      <c r="D334" s="3">
        <v>189.67</v>
      </c>
      <c r="E334" s="4">
        <f t="shared" si="15"/>
        <v>6.1745986510877331E-3</v>
      </c>
      <c r="F334" s="4">
        <f t="shared" si="17"/>
        <v>-3.2236505877265131E-3</v>
      </c>
      <c r="G334" s="4">
        <f t="shared" si="16"/>
        <v>2.7242201039861361E-2</v>
      </c>
    </row>
    <row r="335" spans="1:7">
      <c r="A335" s="2">
        <v>45860</v>
      </c>
      <c r="B335" s="3">
        <v>213.75</v>
      </c>
      <c r="C335" s="3">
        <v>502.35</v>
      </c>
      <c r="D335" s="3">
        <v>190.91</v>
      </c>
      <c r="E335" s="4">
        <f t="shared" si="15"/>
        <v>9.016238670694848E-3</v>
      </c>
      <c r="F335" s="4">
        <f t="shared" si="17"/>
        <v>1.9719976336010461E-5</v>
      </c>
      <c r="G335" s="4">
        <f t="shared" si="16"/>
        <v>6.5376706912005549E-3</v>
      </c>
    </row>
    <row r="336" spans="1:7">
      <c r="A336" s="2">
        <v>45861</v>
      </c>
      <c r="B336" s="3">
        <v>213.5</v>
      </c>
      <c r="C336" s="3">
        <v>502.95</v>
      </c>
      <c r="D336" s="3">
        <v>189.8</v>
      </c>
      <c r="E336" s="4">
        <f t="shared" si="15"/>
        <v>-1.1695906432748538E-3</v>
      </c>
      <c r="F336" s="4">
        <f t="shared" si="17"/>
        <v>-9.3865236339255604E-3</v>
      </c>
      <c r="G336" s="4">
        <f t="shared" si="16"/>
        <v>-5.8142580273426499E-3</v>
      </c>
    </row>
    <row r="337" spans="1:7">
      <c r="A337" s="2">
        <v>45862</v>
      </c>
      <c r="B337" s="3">
        <v>213.11</v>
      </c>
      <c r="C337" s="3">
        <v>507.93</v>
      </c>
      <c r="D337" s="3">
        <v>191.74</v>
      </c>
      <c r="E337" s="4">
        <f t="shared" si="15"/>
        <v>-1.8266978922715988E-3</v>
      </c>
      <c r="F337" s="4">
        <f t="shared" si="17"/>
        <v>1.1943863839951544E-3</v>
      </c>
      <c r="G337" s="4">
        <f t="shared" si="16"/>
        <v>1.0221285563751304E-2</v>
      </c>
    </row>
    <row r="338" spans="1:7">
      <c r="A338" s="2">
        <v>45863</v>
      </c>
      <c r="B338" s="3">
        <v>213.23</v>
      </c>
      <c r="C338" s="3">
        <v>510.74</v>
      </c>
      <c r="D338" s="3">
        <v>192.75</v>
      </c>
      <c r="E338" s="4">
        <f t="shared" si="15"/>
        <v>5.6308948430376855E-4</v>
      </c>
      <c r="F338" s="4">
        <f t="shared" si="17"/>
        <v>9.9015806740232991E-3</v>
      </c>
      <c r="G338" s="4">
        <f t="shared" si="16"/>
        <v>5.2675498070303061E-3</v>
      </c>
    </row>
    <row r="339" spans="1:7">
      <c r="A339" s="2">
        <v>45866</v>
      </c>
      <c r="B339" s="3">
        <v>213.4</v>
      </c>
      <c r="C339" s="3">
        <v>509.54</v>
      </c>
      <c r="D339" s="3">
        <v>192.15</v>
      </c>
      <c r="E339" s="4">
        <f t="shared" si="15"/>
        <v>7.9726117338093099E-4</v>
      </c>
      <c r="F339" s="4">
        <f t="shared" si="17"/>
        <v>5.5322583820605247E-3</v>
      </c>
      <c r="G339" s="4">
        <f t="shared" si="16"/>
        <v>-3.1128404669260403E-3</v>
      </c>
    </row>
    <row r="340" spans="1:7">
      <c r="A340" s="2">
        <v>45867</v>
      </c>
      <c r="B340" s="3">
        <v>210.63</v>
      </c>
      <c r="C340" s="3">
        <v>509.61</v>
      </c>
      <c r="D340" s="3">
        <v>195.31</v>
      </c>
      <c r="E340" s="4">
        <f t="shared" si="15"/>
        <v>-1.298031865042179E-2</v>
      </c>
      <c r="F340" s="4">
        <f t="shared" si="17"/>
        <v>-2.3495320515330475E-3</v>
      </c>
      <c r="G340" s="4">
        <f t="shared" si="16"/>
        <v>1.6445485297944297E-2</v>
      </c>
    </row>
    <row r="341" spans="1:7">
      <c r="A341" s="2">
        <v>45868</v>
      </c>
      <c r="B341" s="3">
        <v>208.42</v>
      </c>
      <c r="C341" s="3">
        <v>510.28</v>
      </c>
      <c r="D341" s="3">
        <v>196.09</v>
      </c>
      <c r="E341" s="4">
        <f t="shared" si="15"/>
        <v>-1.049233252623087E-2</v>
      </c>
      <c r="F341" s="4">
        <f t="shared" si="17"/>
        <v>1.3737881226202688E-4</v>
      </c>
      <c r="G341" s="4">
        <f t="shared" si="16"/>
        <v>3.9936511187343253E-3</v>
      </c>
    </row>
    <row r="342" spans="1:7">
      <c r="A342" s="2">
        <v>45869</v>
      </c>
      <c r="B342" s="3">
        <v>206.94</v>
      </c>
      <c r="C342" s="3">
        <v>530.41999999999996</v>
      </c>
      <c r="D342" s="3">
        <v>191.47</v>
      </c>
      <c r="E342" s="4">
        <f t="shared" si="15"/>
        <v>-7.1010459648785619E-3</v>
      </c>
      <c r="F342" s="4">
        <f t="shared" si="17"/>
        <v>1.3147308726280079E-3</v>
      </c>
      <c r="G342" s="4">
        <f t="shared" si="16"/>
        <v>-2.3560609924014507E-2</v>
      </c>
    </row>
    <row r="343" spans="1:7">
      <c r="A343" s="2">
        <v>45870</v>
      </c>
      <c r="B343" s="3">
        <v>201.77</v>
      </c>
      <c r="C343" s="3">
        <v>521.08000000000004</v>
      </c>
      <c r="D343" s="3">
        <v>188.7</v>
      </c>
      <c r="E343" s="4">
        <f t="shared" si="15"/>
        <v>-2.4983086885087404E-2</v>
      </c>
      <c r="F343" s="4">
        <f t="shared" si="17"/>
        <v>3.9468527083170002E-2</v>
      </c>
      <c r="G343" s="4">
        <f t="shared" si="16"/>
        <v>-1.4467018331853607E-2</v>
      </c>
    </row>
    <row r="344" spans="1:7">
      <c r="A344" s="2">
        <v>45873</v>
      </c>
      <c r="B344" s="3">
        <v>202.73</v>
      </c>
      <c r="C344" s="3">
        <v>532.54999999999995</v>
      </c>
      <c r="D344" s="3">
        <v>194.6</v>
      </c>
      <c r="E344" s="4">
        <f t="shared" si="15"/>
        <v>4.7578926500469821E-3</v>
      </c>
      <c r="F344" s="4">
        <f t="shared" si="17"/>
        <v>-1.7608687455224009E-2</v>
      </c>
      <c r="G344" s="4">
        <f t="shared" si="16"/>
        <v>3.1266560678325415E-2</v>
      </c>
    </row>
    <row r="345" spans="1:7">
      <c r="A345" s="2">
        <v>45874</v>
      </c>
      <c r="B345" s="3">
        <v>202.3</v>
      </c>
      <c r="C345" s="3">
        <v>524.70000000000005</v>
      </c>
      <c r="D345" s="3">
        <v>194.23</v>
      </c>
      <c r="E345" s="4">
        <f t="shared" si="15"/>
        <v>-2.1210476989097738E-3</v>
      </c>
      <c r="F345" s="4">
        <f t="shared" si="17"/>
        <v>2.2011975128578939E-2</v>
      </c>
      <c r="G345" s="4">
        <f t="shared" si="16"/>
        <v>-1.9013360739979679E-3</v>
      </c>
    </row>
    <row r="346" spans="1:7">
      <c r="A346" s="2">
        <v>45875</v>
      </c>
      <c r="B346" s="3">
        <v>212.6</v>
      </c>
      <c r="C346" s="3">
        <v>521.91</v>
      </c>
      <c r="D346" s="3">
        <v>195.65</v>
      </c>
      <c r="E346" s="4">
        <f t="shared" si="15"/>
        <v>5.0914483440434907E-2</v>
      </c>
      <c r="F346" s="4">
        <f t="shared" si="17"/>
        <v>-1.4740399962444672E-2</v>
      </c>
      <c r="G346" s="4">
        <f t="shared" si="16"/>
        <v>7.310920043247778E-3</v>
      </c>
    </row>
    <row r="347" spans="1:7">
      <c r="A347" s="2">
        <v>45876</v>
      </c>
      <c r="B347" s="3">
        <v>219.36</v>
      </c>
      <c r="C347" s="3">
        <v>517.83000000000004</v>
      </c>
      <c r="D347" s="3">
        <v>196.08</v>
      </c>
      <c r="E347" s="4">
        <f t="shared" si="15"/>
        <v>3.1796801505174124E-2</v>
      </c>
      <c r="F347" s="4">
        <f t="shared" si="17"/>
        <v>-5.3173241852488605E-3</v>
      </c>
      <c r="G347" s="4">
        <f t="shared" si="16"/>
        <v>2.1978021978022325E-3</v>
      </c>
    </row>
    <row r="348" spans="1:7">
      <c r="A348" s="2">
        <v>45877</v>
      </c>
      <c r="B348" s="3">
        <v>228.65</v>
      </c>
      <c r="C348" s="3">
        <v>519.02</v>
      </c>
      <c r="D348" s="3">
        <v>200.97</v>
      </c>
      <c r="E348" s="4">
        <f t="shared" si="15"/>
        <v>4.2350474106491572E-2</v>
      </c>
      <c r="F348" s="4">
        <f t="shared" si="17"/>
        <v>-7.8174397884691379E-3</v>
      </c>
      <c r="G348" s="4">
        <f t="shared" si="16"/>
        <v>2.4938800489596014E-2</v>
      </c>
    </row>
    <row r="349" spans="1:7">
      <c r="A349" s="2">
        <v>45880</v>
      </c>
      <c r="B349" s="3">
        <v>226.75</v>
      </c>
      <c r="C349" s="3">
        <v>518.76</v>
      </c>
      <c r="D349" s="3">
        <v>200.55</v>
      </c>
      <c r="E349" s="4">
        <f t="shared" si="15"/>
        <v>-8.3096435600262652E-3</v>
      </c>
      <c r="F349" s="4">
        <f t="shared" si="17"/>
        <v>2.2980514840776718E-3</v>
      </c>
      <c r="G349" s="4">
        <f t="shared" si="16"/>
        <v>-2.0898641588296138E-3</v>
      </c>
    </row>
    <row r="350" spans="1:7">
      <c r="A350" s="2">
        <v>45881</v>
      </c>
      <c r="B350" s="3">
        <v>229.21</v>
      </c>
      <c r="C350" s="3">
        <v>526.17999999999995</v>
      </c>
      <c r="D350" s="3">
        <v>202.88</v>
      </c>
      <c r="E350" s="4">
        <f t="shared" si="15"/>
        <v>1.0848952590959242E-2</v>
      </c>
      <c r="F350" s="4">
        <f t="shared" si="17"/>
        <v>-5.0094408693304867E-4</v>
      </c>
      <c r="G350" s="4">
        <f t="shared" si="16"/>
        <v>1.161805036150578E-2</v>
      </c>
    </row>
    <row r="351" spans="1:7">
      <c r="A351" s="2">
        <v>45882</v>
      </c>
      <c r="B351" s="3">
        <v>232.89</v>
      </c>
      <c r="C351" s="3">
        <v>517.57000000000005</v>
      </c>
      <c r="D351" s="3">
        <v>201.51</v>
      </c>
      <c r="E351" s="4">
        <f t="shared" si="15"/>
        <v>1.6055145936041092E-2</v>
      </c>
      <c r="F351" s="4">
        <f t="shared" si="17"/>
        <v>1.4303338730819569E-2</v>
      </c>
      <c r="G351" s="4">
        <f t="shared" si="16"/>
        <v>-6.7527602523659528E-3</v>
      </c>
    </row>
    <row r="352" spans="1:7">
      <c r="A352" s="2">
        <v>45883</v>
      </c>
      <c r="B352" s="3">
        <v>232.34</v>
      </c>
      <c r="C352" s="3">
        <v>519.46</v>
      </c>
      <c r="D352" s="3">
        <v>202.48</v>
      </c>
      <c r="E352" s="4">
        <f t="shared" si="15"/>
        <v>-2.3616299540554896E-3</v>
      </c>
      <c r="F352" s="4">
        <f t="shared" si="17"/>
        <v>-1.63632217112013E-2</v>
      </c>
      <c r="G352" s="4">
        <f t="shared" si="16"/>
        <v>4.813656890476894E-3</v>
      </c>
    </row>
    <row r="353" spans="1:7">
      <c r="A353" s="2">
        <v>45884</v>
      </c>
      <c r="B353" s="3">
        <v>231.15</v>
      </c>
      <c r="C353" s="3">
        <v>517.16999999999996</v>
      </c>
      <c r="D353" s="3">
        <v>203.44</v>
      </c>
      <c r="E353" s="4">
        <f t="shared" si="15"/>
        <v>-5.1218042523887312E-3</v>
      </c>
      <c r="F353" s="4">
        <f t="shared" si="17"/>
        <v>3.6516799659949114E-3</v>
      </c>
      <c r="G353" s="4">
        <f t="shared" si="16"/>
        <v>4.7412090082971552E-3</v>
      </c>
    </row>
    <row r="354" spans="1:7">
      <c r="A354" s="2">
        <v>45887</v>
      </c>
      <c r="B354" s="3">
        <v>230.45</v>
      </c>
      <c r="C354" s="3">
        <v>514.11</v>
      </c>
      <c r="D354" s="3">
        <v>203.04</v>
      </c>
      <c r="E354" s="4">
        <f t="shared" si="15"/>
        <v>-3.0283365779797404E-3</v>
      </c>
      <c r="F354" s="4">
        <f t="shared" si="17"/>
        <v>-4.4084241327533927E-3</v>
      </c>
      <c r="G354" s="4">
        <f t="shared" si="16"/>
        <v>-1.9661816751868153E-3</v>
      </c>
    </row>
    <row r="355" spans="1:7">
      <c r="A355" s="2">
        <v>45888</v>
      </c>
      <c r="B355" s="3">
        <v>230.12</v>
      </c>
      <c r="C355" s="3">
        <v>506.83</v>
      </c>
      <c r="D355" s="3">
        <v>201.12</v>
      </c>
      <c r="E355" s="4">
        <f t="shared" si="15"/>
        <v>-1.4319809069211721E-3</v>
      </c>
      <c r="F355" s="4">
        <f t="shared" si="17"/>
        <v>-5.9168165206797485E-3</v>
      </c>
      <c r="G355" s="4">
        <f t="shared" si="16"/>
        <v>-9.4562647754136506E-3</v>
      </c>
    </row>
    <row r="356" spans="1:7">
      <c r="A356" s="2">
        <v>45889</v>
      </c>
      <c r="B356" s="3">
        <v>225.58</v>
      </c>
      <c r="C356" s="3">
        <v>502.8</v>
      </c>
      <c r="D356" s="3">
        <v>198.87</v>
      </c>
      <c r="E356" s="4">
        <f t="shared" si="15"/>
        <v>-1.9728837128454683E-2</v>
      </c>
      <c r="F356" s="4">
        <f t="shared" si="17"/>
        <v>-1.4160393690066385E-2</v>
      </c>
      <c r="G356" s="4">
        <f t="shared" si="16"/>
        <v>-1.1187350835322196E-2</v>
      </c>
    </row>
    <row r="357" spans="1:7">
      <c r="A357" s="2">
        <v>45890</v>
      </c>
      <c r="B357" s="3">
        <v>224.47</v>
      </c>
      <c r="C357" s="3">
        <v>502.15</v>
      </c>
      <c r="D357" s="3">
        <v>199.3</v>
      </c>
      <c r="E357" s="4">
        <f t="shared" si="15"/>
        <v>-4.920648993705176E-3</v>
      </c>
      <c r="F357" s="4">
        <f t="shared" si="17"/>
        <v>-7.9513840932856628E-3</v>
      </c>
      <c r="G357" s="4">
        <f t="shared" si="16"/>
        <v>2.1622165233570012E-3</v>
      </c>
    </row>
    <row r="358" spans="1:7">
      <c r="A358" s="2">
        <v>45891</v>
      </c>
      <c r="B358" s="3">
        <v>227.33</v>
      </c>
      <c r="C358" s="3">
        <v>505.13</v>
      </c>
      <c r="D358" s="3">
        <v>205.63</v>
      </c>
      <c r="E358" s="4">
        <f t="shared" si="15"/>
        <v>1.2741123535439096E-2</v>
      </c>
      <c r="F358" s="4">
        <f t="shared" si="17"/>
        <v>-1.2927605409706327E-3</v>
      </c>
      <c r="G358" s="4">
        <f t="shared" si="16"/>
        <v>3.1761164074259829E-2</v>
      </c>
    </row>
    <row r="359" spans="1:7">
      <c r="A359" s="2">
        <v>45894</v>
      </c>
      <c r="B359" s="3">
        <v>226.73</v>
      </c>
      <c r="C359" s="3">
        <v>502.17</v>
      </c>
      <c r="D359" s="3">
        <v>208.02</v>
      </c>
      <c r="E359" s="4">
        <f t="shared" si="15"/>
        <v>-2.6393348876084227E-3</v>
      </c>
      <c r="F359" s="4">
        <f t="shared" si="17"/>
        <v>5.934481728567198E-3</v>
      </c>
      <c r="G359" s="4">
        <f t="shared" si="16"/>
        <v>1.1622817682244881E-2</v>
      </c>
    </row>
    <row r="360" spans="1:7">
      <c r="A360" s="2">
        <v>45895</v>
      </c>
      <c r="B360" s="3">
        <v>228.87</v>
      </c>
      <c r="C360" s="3">
        <v>499.96</v>
      </c>
      <c r="D360" s="3">
        <v>206.67</v>
      </c>
      <c r="E360" s="4">
        <f t="shared" si="15"/>
        <v>9.4385392316853299E-3</v>
      </c>
      <c r="F360" s="4">
        <f t="shared" si="17"/>
        <v>-5.8598776552570217E-3</v>
      </c>
      <c r="G360" s="4">
        <f t="shared" si="16"/>
        <v>-6.4897605999424219E-3</v>
      </c>
    </row>
    <row r="361" spans="1:7">
      <c r="A361" s="2">
        <v>45896</v>
      </c>
      <c r="B361" s="3">
        <v>230.05</v>
      </c>
      <c r="C361" s="3">
        <v>504.64</v>
      </c>
      <c r="D361" s="3">
        <v>207.01</v>
      </c>
      <c r="E361" s="4">
        <f t="shared" si="15"/>
        <v>5.1557652816009384E-3</v>
      </c>
      <c r="F361" s="4">
        <f t="shared" si="17"/>
        <v>-4.400900093593875E-3</v>
      </c>
      <c r="G361" s="4">
        <f t="shared" si="16"/>
        <v>1.6451347558910506E-3</v>
      </c>
    </row>
    <row r="362" spans="1:7">
      <c r="A362" s="2">
        <v>45897</v>
      </c>
      <c r="B362" s="3">
        <v>232.12</v>
      </c>
      <c r="C362" s="3">
        <v>507.53</v>
      </c>
      <c r="D362" s="3">
        <v>211.16</v>
      </c>
      <c r="E362" s="4">
        <f t="shared" si="15"/>
        <v>8.9980439034992084E-3</v>
      </c>
      <c r="F362" s="4">
        <f t="shared" si="17"/>
        <v>9.360748859908806E-3</v>
      </c>
      <c r="G362" s="4">
        <f t="shared" si="16"/>
        <v>2.0047340708178377E-2</v>
      </c>
    </row>
    <row r="363" spans="1:7">
      <c r="A363" s="2">
        <v>45898</v>
      </c>
      <c r="B363" s="3">
        <v>231.7</v>
      </c>
      <c r="C363" s="3">
        <v>504.59</v>
      </c>
      <c r="D363" s="3">
        <v>212.43</v>
      </c>
      <c r="E363" s="4">
        <f t="shared" si="15"/>
        <v>-1.8094089264174388E-3</v>
      </c>
      <c r="F363" s="4">
        <f t="shared" si="17"/>
        <v>5.7268547875713111E-3</v>
      </c>
      <c r="G363" s="4">
        <f t="shared" si="16"/>
        <v>6.0143966660352825E-3</v>
      </c>
    </row>
    <row r="364" spans="1:7">
      <c r="A364" s="2">
        <v>45902</v>
      </c>
      <c r="B364" s="3">
        <v>229.28</v>
      </c>
      <c r="C364" s="3">
        <v>503.03</v>
      </c>
      <c r="D364" s="3">
        <v>210.87</v>
      </c>
      <c r="E364" s="4">
        <f t="shared" si="15"/>
        <v>-1.044454035390586E-2</v>
      </c>
      <c r="F364" s="4">
        <f t="shared" si="17"/>
        <v>-5.7927610190530564E-3</v>
      </c>
      <c r="G364" s="4">
        <f t="shared" si="16"/>
        <v>-7.3435955373534912E-3</v>
      </c>
    </row>
    <row r="365" spans="1:7">
      <c r="A365" s="2">
        <v>45903</v>
      </c>
      <c r="B365" s="3">
        <v>238.02</v>
      </c>
      <c r="C365" s="3">
        <v>503.26</v>
      </c>
      <c r="D365" s="3">
        <v>230.14</v>
      </c>
      <c r="E365" s="4">
        <f t="shared" si="15"/>
        <v>3.8119330076762076E-2</v>
      </c>
      <c r="F365" s="4">
        <f t="shared" si="17"/>
        <v>-3.0916189381478077E-3</v>
      </c>
      <c r="G365" s="4">
        <f t="shared" si="16"/>
        <v>9.1383316735429321E-2</v>
      </c>
    </row>
    <row r="366" spans="1:7">
      <c r="A366" s="2">
        <v>45904</v>
      </c>
      <c r="B366" s="3">
        <v>239.32</v>
      </c>
      <c r="C366" s="3">
        <v>505.87</v>
      </c>
      <c r="D366" s="3">
        <v>231.78</v>
      </c>
      <c r="E366" s="4">
        <f t="shared" si="15"/>
        <v>5.4617259053860298E-3</v>
      </c>
      <c r="F366" s="4">
        <f t="shared" si="17"/>
        <v>4.5722919110195855E-4</v>
      </c>
      <c r="G366" s="4">
        <f t="shared" si="16"/>
        <v>7.1260971582515634E-3</v>
      </c>
    </row>
    <row r="367" spans="1:7">
      <c r="A367" s="2">
        <v>45905</v>
      </c>
      <c r="B367" s="3">
        <v>239.23</v>
      </c>
      <c r="C367" s="3">
        <v>492.95</v>
      </c>
      <c r="D367" s="3">
        <v>234.47</v>
      </c>
      <c r="E367" s="4">
        <f t="shared" si="15"/>
        <v>-3.7606551897043046E-4</v>
      </c>
      <c r="F367" s="4">
        <f t="shared" si="17"/>
        <v>5.1861860668442035E-3</v>
      </c>
      <c r="G367" s="4">
        <f t="shared" si="16"/>
        <v>1.1605833117611519E-2</v>
      </c>
    </row>
    <row r="368" spans="1:7">
      <c r="A368" s="2">
        <v>45908</v>
      </c>
      <c r="B368" s="3">
        <v>237.43</v>
      </c>
      <c r="C368" s="3">
        <v>496.14</v>
      </c>
      <c r="D368" s="3">
        <v>233.72</v>
      </c>
      <c r="E368" s="4">
        <f t="shared" si="15"/>
        <v>-7.5241399490029804E-3</v>
      </c>
      <c r="F368" s="4">
        <f t="shared" si="17"/>
        <v>-2.5540158538755048E-2</v>
      </c>
      <c r="G368" s="4">
        <f t="shared" si="16"/>
        <v>-3.1987034588646735E-3</v>
      </c>
    </row>
    <row r="369" spans="1:7">
      <c r="A369" s="2">
        <v>45909</v>
      </c>
      <c r="B369" s="3">
        <v>233.9</v>
      </c>
      <c r="C369" s="3">
        <v>496.35</v>
      </c>
      <c r="D369" s="3">
        <v>239.3</v>
      </c>
      <c r="E369" s="4">
        <f t="shared" si="15"/>
        <v>-1.4867539906498762E-2</v>
      </c>
      <c r="F369" s="4">
        <f t="shared" si="17"/>
        <v>6.4712445481286086E-3</v>
      </c>
      <c r="G369" s="4">
        <f t="shared" si="16"/>
        <v>2.3874721889440408E-2</v>
      </c>
    </row>
    <row r="370" spans="1:7">
      <c r="A370" s="2">
        <v>45910</v>
      </c>
      <c r="B370" s="3">
        <v>226.36</v>
      </c>
      <c r="C370" s="3">
        <v>498.3</v>
      </c>
      <c r="D370" s="3">
        <v>238.85</v>
      </c>
      <c r="E370" s="4">
        <f t="shared" si="15"/>
        <v>-3.223599828986743E-2</v>
      </c>
      <c r="F370" s="4">
        <f t="shared" si="17"/>
        <v>4.2326762607335913E-4</v>
      </c>
      <c r="G370" s="4">
        <f t="shared" si="16"/>
        <v>-1.880484747179344E-3</v>
      </c>
    </row>
    <row r="371" spans="1:7">
      <c r="A371" s="2">
        <v>45911</v>
      </c>
      <c r="B371" s="3">
        <v>229.59</v>
      </c>
      <c r="C371" s="3">
        <v>498.94</v>
      </c>
      <c r="D371" s="3">
        <v>240.04</v>
      </c>
      <c r="E371" s="4">
        <f t="shared" si="15"/>
        <v>1.4269305531012501E-2</v>
      </c>
      <c r="F371" s="4">
        <f t="shared" si="17"/>
        <v>3.9286793593230349E-3</v>
      </c>
      <c r="G371" s="4">
        <f t="shared" si="16"/>
        <v>4.9822064056939406E-3</v>
      </c>
    </row>
    <row r="372" spans="1:7">
      <c r="A372" s="2">
        <v>45912</v>
      </c>
      <c r="B372" s="3">
        <v>233.62</v>
      </c>
      <c r="C372" s="3">
        <v>507.79</v>
      </c>
      <c r="D372" s="3">
        <v>240.47</v>
      </c>
      <c r="E372" s="4">
        <f t="shared" si="15"/>
        <v>1.75530293131234E-2</v>
      </c>
      <c r="F372" s="4">
        <f t="shared" si="17"/>
        <v>1.2843668472807272E-3</v>
      </c>
      <c r="G372" s="4">
        <f t="shared" si="16"/>
        <v>1.7913681053158092E-3</v>
      </c>
    </row>
    <row r="373" spans="1:7">
      <c r="A373" s="2">
        <v>45915</v>
      </c>
      <c r="B373" s="3">
        <v>236.25</v>
      </c>
      <c r="C373" s="3">
        <v>513.23</v>
      </c>
      <c r="D373" s="3">
        <v>251.27</v>
      </c>
      <c r="E373" s="4">
        <f t="shared" si="15"/>
        <v>1.1257597808406794E-2</v>
      </c>
      <c r="F373" s="4">
        <f t="shared" si="17"/>
        <v>1.7737603719886204E-2</v>
      </c>
      <c r="G373" s="4">
        <f t="shared" si="16"/>
        <v>4.491204724082011E-2</v>
      </c>
    </row>
    <row r="374" spans="1:7">
      <c r="A374" s="2">
        <v>45916</v>
      </c>
      <c r="B374" s="3">
        <v>237.7</v>
      </c>
      <c r="C374" s="3">
        <v>506.93</v>
      </c>
      <c r="D374" s="3">
        <v>250.82</v>
      </c>
      <c r="E374" s="4">
        <f t="shared" si="15"/>
        <v>6.1375661375660893E-3</v>
      </c>
      <c r="F374" s="4">
        <f t="shared" si="17"/>
        <v>1.0713090056913286E-2</v>
      </c>
      <c r="G374" s="4">
        <f t="shared" si="16"/>
        <v>-1.7909022167390339E-3</v>
      </c>
    </row>
    <row r="375" spans="1:7">
      <c r="A375" s="2">
        <v>45917</v>
      </c>
      <c r="B375" s="3">
        <v>238.54</v>
      </c>
      <c r="C375" s="3">
        <v>507.91</v>
      </c>
      <c r="D375" s="3">
        <v>249.19</v>
      </c>
      <c r="E375" s="4">
        <f t="shared" si="15"/>
        <v>3.5338662179217645E-3</v>
      </c>
      <c r="F375" s="4">
        <f t="shared" si="17"/>
        <v>-1.2275198254194047E-2</v>
      </c>
      <c r="G375" s="4">
        <f t="shared" si="16"/>
        <v>-6.4986843154453211E-3</v>
      </c>
    </row>
    <row r="376" spans="1:7">
      <c r="A376" s="2">
        <v>45918</v>
      </c>
      <c r="B376" s="3">
        <v>237.43</v>
      </c>
      <c r="C376" s="3">
        <v>506.34</v>
      </c>
      <c r="D376" s="3">
        <v>251.69</v>
      </c>
      <c r="E376" s="4">
        <f t="shared" si="15"/>
        <v>-4.6533076213632315E-3</v>
      </c>
      <c r="F376" s="4">
        <f t="shared" si="17"/>
        <v>1.933205768054797E-3</v>
      </c>
      <c r="G376" s="4">
        <f t="shared" si="16"/>
        <v>1.0032505317227818E-2</v>
      </c>
    </row>
    <row r="377" spans="1:7">
      <c r="A377" s="2">
        <v>45919</v>
      </c>
      <c r="B377" s="3">
        <v>245.03</v>
      </c>
      <c r="C377" s="3">
        <v>515.79</v>
      </c>
      <c r="D377" s="3">
        <v>254.37</v>
      </c>
      <c r="E377" s="4">
        <f t="shared" si="15"/>
        <v>3.20094343596007E-2</v>
      </c>
      <c r="F377" s="4">
        <f t="shared" si="17"/>
        <v>-3.0910988167195961E-3</v>
      </c>
      <c r="G377" s="4">
        <f t="shared" si="16"/>
        <v>1.0648019388930854E-2</v>
      </c>
    </row>
    <row r="378" spans="1:7">
      <c r="A378" s="2">
        <v>45922</v>
      </c>
      <c r="B378" s="3">
        <v>255.59</v>
      </c>
      <c r="C378" s="3">
        <v>512.32000000000005</v>
      </c>
      <c r="D378" s="3">
        <v>252.19</v>
      </c>
      <c r="E378" s="4">
        <f t="shared" si="15"/>
        <v>4.3096763661592465E-2</v>
      </c>
      <c r="F378" s="4">
        <f t="shared" si="17"/>
        <v>1.8663348738002111E-2</v>
      </c>
      <c r="G378" s="4">
        <f t="shared" si="16"/>
        <v>-8.570193025907169E-3</v>
      </c>
    </row>
    <row r="379" spans="1:7">
      <c r="A379" s="2">
        <v>45923</v>
      </c>
      <c r="B379" s="3">
        <v>253.95</v>
      </c>
      <c r="C379" s="3">
        <v>507.12</v>
      </c>
      <c r="D379" s="3">
        <v>251.32</v>
      </c>
      <c r="E379" s="4">
        <f t="shared" si="15"/>
        <v>-6.4165264681717389E-3</v>
      </c>
      <c r="F379" s="4">
        <f t="shared" si="17"/>
        <v>-6.7275441555670213E-3</v>
      </c>
      <c r="G379" s="4">
        <f t="shared" si="16"/>
        <v>-3.4497799278322082E-3</v>
      </c>
    </row>
    <row r="380" spans="1:7">
      <c r="A380" s="2">
        <v>45924</v>
      </c>
      <c r="B380" s="3">
        <v>251.83</v>
      </c>
      <c r="C380" s="3">
        <v>508.04</v>
      </c>
      <c r="D380" s="3">
        <v>246.8</v>
      </c>
      <c r="E380" s="4">
        <f t="shared" si="15"/>
        <v>-8.3481000196888207E-3</v>
      </c>
      <c r="F380" s="4">
        <f t="shared" si="17"/>
        <v>-1.0149906308557239E-2</v>
      </c>
      <c r="G380" s="4">
        <f t="shared" si="16"/>
        <v>-1.7985038994111021E-2</v>
      </c>
    </row>
    <row r="381" spans="1:7">
      <c r="A381" s="2">
        <v>45925</v>
      </c>
      <c r="B381" s="3">
        <v>256.38</v>
      </c>
      <c r="C381" s="3">
        <v>504.93</v>
      </c>
      <c r="D381" s="3">
        <v>245.46</v>
      </c>
      <c r="E381" s="4">
        <f t="shared" si="15"/>
        <v>1.8067744113092098E-2</v>
      </c>
      <c r="F381" s="4">
        <f t="shared" si="17"/>
        <v>1.8141662722827257E-3</v>
      </c>
      <c r="G381" s="4">
        <f t="shared" si="16"/>
        <v>-5.4294975688816988E-3</v>
      </c>
    </row>
    <row r="382" spans="1:7">
      <c r="A382" s="2">
        <v>45926</v>
      </c>
      <c r="B382" s="3">
        <v>254.97</v>
      </c>
      <c r="C382" s="3">
        <v>509.34</v>
      </c>
      <c r="D382" s="3">
        <v>246.21</v>
      </c>
      <c r="E382" s="4">
        <f t="shared" si="15"/>
        <v>-5.499648958577099E-3</v>
      </c>
      <c r="F382" s="4">
        <f t="shared" si="17"/>
        <v>-6.1215652310841933E-3</v>
      </c>
      <c r="G382" s="4">
        <f t="shared" si="16"/>
        <v>3.0554876558298704E-3</v>
      </c>
    </row>
    <row r="383" spans="1:7">
      <c r="A383" s="2">
        <v>45929</v>
      </c>
      <c r="B383" s="3">
        <v>253.95</v>
      </c>
      <c r="C383" s="3">
        <v>512.47</v>
      </c>
      <c r="D383" s="3">
        <v>243.72</v>
      </c>
      <c r="E383" s="4">
        <f t="shared" si="15"/>
        <v>-4.0004706436051699E-3</v>
      </c>
      <c r="F383" s="4">
        <f t="shared" si="17"/>
        <v>8.7338839046995978E-3</v>
      </c>
      <c r="G383" s="4">
        <f t="shared" si="16"/>
        <v>-1.0113317899354246E-2</v>
      </c>
    </row>
    <row r="384" spans="1:7">
      <c r="A384" s="2">
        <v>45930</v>
      </c>
      <c r="B384" s="3">
        <v>254.15</v>
      </c>
      <c r="C384" s="3">
        <v>515.80999999999995</v>
      </c>
      <c r="D384" s="3">
        <v>242.77</v>
      </c>
      <c r="E384" s="4">
        <f t="shared" si="15"/>
        <v>7.8755660563109694E-4</v>
      </c>
      <c r="F384" s="4">
        <f t="shared" si="17"/>
        <v>6.1452075234618379E-3</v>
      </c>
      <c r="G384" s="4">
        <f t="shared" si="16"/>
        <v>-3.8979156408993462E-3</v>
      </c>
    </row>
    <row r="385" spans="1:7">
      <c r="A385" s="2">
        <v>45931</v>
      </c>
      <c r="B385" s="3">
        <v>254.96</v>
      </c>
      <c r="C385" s="3">
        <v>517.55999999999995</v>
      </c>
      <c r="D385" s="3">
        <v>244.57</v>
      </c>
      <c r="E385" s="4">
        <f t="shared" si="15"/>
        <v>3.187094235687595E-3</v>
      </c>
      <c r="F385" s="4">
        <f t="shared" si="17"/>
        <v>6.5174546802738076E-3</v>
      </c>
      <c r="G385" s="4">
        <f t="shared" si="16"/>
        <v>7.4144251760925274E-3</v>
      </c>
    </row>
    <row r="386" spans="1:7">
      <c r="A386" s="2">
        <v>45932</v>
      </c>
      <c r="B386" s="3">
        <v>256.64</v>
      </c>
      <c r="C386" s="3">
        <v>513.6</v>
      </c>
      <c r="D386" s="3">
        <v>245.36</v>
      </c>
      <c r="E386" s="4">
        <f t="shared" si="15"/>
        <v>6.5892689049261779E-3</v>
      </c>
      <c r="F386" s="4">
        <f t="shared" si="17"/>
        <v>3.3927221263643594E-3</v>
      </c>
      <c r="G386" s="4">
        <f t="shared" si="16"/>
        <v>3.2301590546674592E-3</v>
      </c>
    </row>
    <row r="387" spans="1:7">
      <c r="A387" s="2">
        <v>45933</v>
      </c>
      <c r="B387" s="3">
        <v>257.52999999999997</v>
      </c>
      <c r="C387" s="3">
        <v>515.21</v>
      </c>
      <c r="D387" s="3">
        <v>245.02</v>
      </c>
      <c r="E387" s="4">
        <f t="shared" si="15"/>
        <v>3.4678927680797476E-3</v>
      </c>
      <c r="F387" s="4">
        <f t="shared" si="17"/>
        <v>-7.6512868073265383E-3</v>
      </c>
      <c r="G387" s="4">
        <f t="shared" si="16"/>
        <v>-1.3857189435931016E-3</v>
      </c>
    </row>
    <row r="388" spans="1:7">
      <c r="A388" s="2">
        <v>45936</v>
      </c>
      <c r="B388" s="3">
        <v>256.2</v>
      </c>
      <c r="C388" s="3">
        <v>526.38</v>
      </c>
      <c r="D388" s="3">
        <v>250.09</v>
      </c>
      <c r="E388" s="4">
        <f t="shared" ref="E388:E451" si="18">(B388-B387)/B387</f>
        <v>-5.1644468605598738E-3</v>
      </c>
      <c r="F388" s="4">
        <f t="shared" si="17"/>
        <v>3.1347352024922383E-3</v>
      </c>
      <c r="G388" s="4">
        <f t="shared" ref="G388:G451" si="19">(D388-D387)/D387</f>
        <v>2.0692188392784232E-2</v>
      </c>
    </row>
    <row r="389" spans="1:7">
      <c r="A389" s="2">
        <v>45937</v>
      </c>
      <c r="B389" s="3">
        <v>255.99</v>
      </c>
      <c r="C389" s="3">
        <v>521.80999999999995</v>
      </c>
      <c r="D389" s="3">
        <v>245.43</v>
      </c>
      <c r="E389" s="4">
        <f t="shared" si="18"/>
        <v>-8.1967213114746119E-4</v>
      </c>
      <c r="F389" s="4">
        <f t="shared" ref="F389:F452" si="20">(C388-C387)/C387</f>
        <v>2.1680479804351543E-2</v>
      </c>
      <c r="G389" s="4">
        <f t="shared" si="19"/>
        <v>-1.8633292014874632E-2</v>
      </c>
    </row>
    <row r="390" spans="1:7">
      <c r="A390" s="2">
        <v>45938</v>
      </c>
      <c r="B390" s="3">
        <v>257.57</v>
      </c>
      <c r="C390" s="3">
        <v>522.67999999999995</v>
      </c>
      <c r="D390" s="3">
        <v>244.29</v>
      </c>
      <c r="E390" s="4">
        <f t="shared" si="18"/>
        <v>6.1721160982850269E-3</v>
      </c>
      <c r="F390" s="4">
        <f t="shared" si="20"/>
        <v>-8.6819408032221025E-3</v>
      </c>
      <c r="G390" s="4">
        <f t="shared" si="19"/>
        <v>-4.6449089353380385E-3</v>
      </c>
    </row>
    <row r="391" spans="1:7">
      <c r="A391" s="2">
        <v>45939</v>
      </c>
      <c r="B391" s="3">
        <v>253.56</v>
      </c>
      <c r="C391" s="3">
        <v>520.24</v>
      </c>
      <c r="D391" s="3">
        <v>241.2</v>
      </c>
      <c r="E391" s="4">
        <f t="shared" si="18"/>
        <v>-1.5568583297744267E-2</v>
      </c>
      <c r="F391" s="4">
        <f t="shared" si="20"/>
        <v>1.66727352867903E-3</v>
      </c>
      <c r="G391" s="4">
        <f t="shared" si="19"/>
        <v>-1.2648900896475515E-2</v>
      </c>
    </row>
    <row r="392" spans="1:7">
      <c r="A392" s="2">
        <v>45940</v>
      </c>
      <c r="B392" s="3">
        <v>244.8</v>
      </c>
      <c r="C392" s="3">
        <v>508.84</v>
      </c>
      <c r="D392" s="3">
        <v>236.25</v>
      </c>
      <c r="E392" s="4">
        <f t="shared" si="18"/>
        <v>-3.4548035967818233E-2</v>
      </c>
      <c r="F392" s="4">
        <f t="shared" si="20"/>
        <v>-4.6682482589728725E-3</v>
      </c>
      <c r="G392" s="4">
        <f t="shared" si="19"/>
        <v>-2.0522388059701448E-2</v>
      </c>
    </row>
    <row r="393" spans="1:7">
      <c r="A393" s="2">
        <v>45943</v>
      </c>
      <c r="B393" s="3">
        <v>247.19</v>
      </c>
      <c r="C393" s="3">
        <v>511.92</v>
      </c>
      <c r="D393" s="3">
        <v>243.82</v>
      </c>
      <c r="E393" s="4">
        <f t="shared" si="18"/>
        <v>9.7630718954247811E-3</v>
      </c>
      <c r="F393" s="4">
        <f t="shared" si="20"/>
        <v>-2.1912963247731881E-2</v>
      </c>
      <c r="G393" s="4">
        <f t="shared" si="19"/>
        <v>3.2042328042328011E-2</v>
      </c>
    </row>
    <row r="394" spans="1:7">
      <c r="A394" s="2">
        <v>45944</v>
      </c>
      <c r="B394" s="3">
        <v>247.3</v>
      </c>
      <c r="C394" s="3">
        <v>511.44</v>
      </c>
      <c r="D394" s="3">
        <v>245.12</v>
      </c>
      <c r="E394" s="4">
        <f t="shared" si="18"/>
        <v>4.4500182046204801E-4</v>
      </c>
      <c r="F394" s="4">
        <f t="shared" si="20"/>
        <v>6.0529832560334111E-3</v>
      </c>
      <c r="G394" s="4">
        <f t="shared" si="19"/>
        <v>5.3318021491264517E-3</v>
      </c>
    </row>
    <row r="395" spans="1:7">
      <c r="A395" s="2">
        <v>45945</v>
      </c>
      <c r="B395" s="3">
        <v>248.87</v>
      </c>
      <c r="C395" s="3">
        <v>511.3</v>
      </c>
      <c r="D395" s="3">
        <v>250.69</v>
      </c>
      <c r="E395" s="4">
        <f t="shared" si="18"/>
        <v>6.3485644965628509E-3</v>
      </c>
      <c r="F395" s="4">
        <f t="shared" si="20"/>
        <v>-9.3764650726679594E-4</v>
      </c>
      <c r="G395" s="4">
        <f t="shared" si="19"/>
        <v>2.272356396866838E-2</v>
      </c>
    </row>
    <row r="396" spans="1:7">
      <c r="A396" s="2">
        <v>45946</v>
      </c>
      <c r="B396" s="3">
        <v>246.98</v>
      </c>
      <c r="C396" s="3">
        <v>509.49</v>
      </c>
      <c r="D396" s="3">
        <v>251.12</v>
      </c>
      <c r="E396" s="4">
        <f t="shared" si="18"/>
        <v>-7.5943263551252246E-3</v>
      </c>
      <c r="F396" s="4">
        <f t="shared" si="20"/>
        <v>-2.737368997340575E-4</v>
      </c>
      <c r="G396" s="4">
        <f t="shared" si="19"/>
        <v>1.7152658662092897E-3</v>
      </c>
    </row>
    <row r="397" spans="1:7">
      <c r="A397" s="2">
        <v>45947</v>
      </c>
      <c r="B397" s="3">
        <v>251.81</v>
      </c>
      <c r="C397" s="3">
        <v>511.45</v>
      </c>
      <c r="D397" s="3">
        <v>252.96</v>
      </c>
      <c r="E397" s="4">
        <f t="shared" si="18"/>
        <v>1.955623937160909E-2</v>
      </c>
      <c r="F397" s="4">
        <f t="shared" si="20"/>
        <v>-3.5399960884021165E-3</v>
      </c>
      <c r="G397" s="4">
        <f t="shared" si="19"/>
        <v>7.3271742593182679E-3</v>
      </c>
    </row>
    <row r="398" spans="1:7">
      <c r="A398" s="2">
        <v>45950</v>
      </c>
      <c r="B398" s="3">
        <v>261.74</v>
      </c>
      <c r="C398" s="3">
        <v>514.65</v>
      </c>
      <c r="D398" s="3">
        <v>256.2</v>
      </c>
      <c r="E398" s="4">
        <f t="shared" si="18"/>
        <v>3.9434494261546431E-2</v>
      </c>
      <c r="F398" s="4">
        <f t="shared" si="20"/>
        <v>3.8469842391410615E-3</v>
      </c>
      <c r="G398" s="4">
        <f t="shared" si="19"/>
        <v>1.280834914610998E-2</v>
      </c>
    </row>
    <row r="399" spans="1:7">
      <c r="A399" s="2">
        <v>45951</v>
      </c>
      <c r="B399" s="3">
        <v>262.27</v>
      </c>
      <c r="C399" s="3">
        <v>515.52</v>
      </c>
      <c r="D399" s="3">
        <v>250.12</v>
      </c>
      <c r="E399" s="4">
        <f t="shared" si="18"/>
        <v>2.0249102162450245E-3</v>
      </c>
      <c r="F399" s="4">
        <f t="shared" si="20"/>
        <v>6.2567210871052664E-3</v>
      </c>
      <c r="G399" s="4">
        <f t="shared" si="19"/>
        <v>-2.3731459797033505E-2</v>
      </c>
    </row>
    <row r="400" spans="1:7">
      <c r="A400" s="2">
        <v>45952</v>
      </c>
      <c r="B400" s="3">
        <v>257.95999999999998</v>
      </c>
      <c r="C400" s="3">
        <v>518.38</v>
      </c>
      <c r="D400" s="3">
        <v>251.35</v>
      </c>
      <c r="E400" s="4">
        <f t="shared" si="18"/>
        <v>-1.6433446448316631E-2</v>
      </c>
      <c r="F400" s="4">
        <f t="shared" si="20"/>
        <v>1.6904692509472545E-3</v>
      </c>
      <c r="G400" s="4">
        <f t="shared" si="19"/>
        <v>4.9176395330241072E-3</v>
      </c>
    </row>
    <row r="401" spans="1:7">
      <c r="A401" s="2">
        <v>45953</v>
      </c>
      <c r="B401" s="3">
        <v>259.08999999999997</v>
      </c>
      <c r="C401" s="3">
        <v>518.4</v>
      </c>
      <c r="D401" s="3">
        <v>252.74</v>
      </c>
      <c r="E401" s="4">
        <f t="shared" si="18"/>
        <v>4.3805241122654506E-3</v>
      </c>
      <c r="F401" s="4">
        <f t="shared" si="20"/>
        <v>5.5477963997517333E-3</v>
      </c>
      <c r="G401" s="4">
        <f t="shared" si="19"/>
        <v>5.5301372588025255E-3</v>
      </c>
    </row>
    <row r="402" spans="1:7">
      <c r="A402" s="2">
        <v>45954</v>
      </c>
      <c r="B402" s="3">
        <v>262.32</v>
      </c>
      <c r="C402" s="3">
        <v>521.44000000000005</v>
      </c>
      <c r="D402" s="3">
        <v>259.57</v>
      </c>
      <c r="E402" s="4">
        <f t="shared" si="18"/>
        <v>1.246671040951028E-2</v>
      </c>
      <c r="F402" s="4">
        <f t="shared" si="20"/>
        <v>3.858173540642349E-5</v>
      </c>
      <c r="G402" s="4">
        <f t="shared" si="19"/>
        <v>2.7023818944369643E-2</v>
      </c>
    </row>
    <row r="403" spans="1:7">
      <c r="A403" s="2">
        <v>45957</v>
      </c>
      <c r="B403" s="3">
        <v>268.3</v>
      </c>
      <c r="C403" s="3">
        <v>529.32000000000005</v>
      </c>
      <c r="D403" s="3">
        <v>268.89999999999998</v>
      </c>
      <c r="E403" s="4">
        <f t="shared" si="18"/>
        <v>2.2796584324489243E-2</v>
      </c>
      <c r="F403" s="4">
        <f t="shared" si="20"/>
        <v>5.8641975308643471E-3</v>
      </c>
      <c r="G403" s="4">
        <f t="shared" si="19"/>
        <v>3.5944061332203202E-2</v>
      </c>
    </row>
    <row r="404" spans="1:7">
      <c r="A404" s="2">
        <v>45958</v>
      </c>
      <c r="B404" s="3">
        <v>268.49</v>
      </c>
      <c r="C404" s="3">
        <v>539.83000000000004</v>
      </c>
      <c r="D404" s="3">
        <v>267.11</v>
      </c>
      <c r="E404" s="4">
        <f t="shared" si="18"/>
        <v>7.0816250465895539E-4</v>
      </c>
      <c r="F404" s="4">
        <f t="shared" si="20"/>
        <v>1.5111997545259272E-2</v>
      </c>
      <c r="G404" s="4">
        <f t="shared" si="19"/>
        <v>-6.656749721085771E-3</v>
      </c>
    </row>
    <row r="405" spans="1:7">
      <c r="A405" s="2">
        <v>45959</v>
      </c>
      <c r="B405" s="3">
        <v>269.19</v>
      </c>
      <c r="C405" s="3">
        <v>539.30999999999995</v>
      </c>
      <c r="D405" s="3">
        <v>274.2</v>
      </c>
      <c r="E405" s="4">
        <f t="shared" si="18"/>
        <v>2.607173451525154E-3</v>
      </c>
      <c r="F405" s="4">
        <f t="shared" si="20"/>
        <v>1.9855663870626445E-2</v>
      </c>
      <c r="G405" s="4">
        <f t="shared" si="19"/>
        <v>2.6543371644640691E-2</v>
      </c>
    </row>
    <row r="406" spans="1:7">
      <c r="A406" s="2">
        <v>45960</v>
      </c>
      <c r="B406" s="3">
        <v>270.88</v>
      </c>
      <c r="C406" s="3">
        <v>523.58000000000004</v>
      </c>
      <c r="D406" s="3">
        <v>281.10000000000002</v>
      </c>
      <c r="E406" s="4">
        <f t="shared" si="18"/>
        <v>6.2780935398788875E-3</v>
      </c>
      <c r="F406" s="4">
        <f t="shared" si="20"/>
        <v>-9.6326621343774052E-4</v>
      </c>
      <c r="G406" s="4">
        <f t="shared" si="19"/>
        <v>2.5164113785558113E-2</v>
      </c>
    </row>
    <row r="407" spans="1:7">
      <c r="A407" s="2">
        <v>45961</v>
      </c>
      <c r="B407" s="3">
        <v>269.86</v>
      </c>
      <c r="C407" s="3">
        <v>515.66999999999996</v>
      </c>
      <c r="D407" s="3">
        <v>280.81</v>
      </c>
      <c r="E407" s="4">
        <f t="shared" si="18"/>
        <v>-3.765505020673294E-3</v>
      </c>
      <c r="F407" s="4">
        <f t="shared" si="20"/>
        <v>-2.9166898444308295E-2</v>
      </c>
      <c r="G407" s="4">
        <f t="shared" si="19"/>
        <v>-1.0316613304874437E-3</v>
      </c>
    </row>
    <row r="408" spans="1:7">
      <c r="A408" s="2">
        <v>45964</v>
      </c>
      <c r="B408" s="3">
        <v>268.54000000000002</v>
      </c>
      <c r="C408" s="3">
        <v>514.89</v>
      </c>
      <c r="D408" s="3">
        <v>283.33999999999997</v>
      </c>
      <c r="E408" s="4">
        <f t="shared" si="18"/>
        <v>-4.8914251834284187E-3</v>
      </c>
      <c r="F408" s="4">
        <f t="shared" si="20"/>
        <v>-1.5107528935406397E-2</v>
      </c>
      <c r="G408" s="4">
        <f t="shared" si="19"/>
        <v>9.0096506534666602E-3</v>
      </c>
    </row>
    <row r="409" spans="1:7">
      <c r="A409" s="2">
        <v>45965</v>
      </c>
      <c r="B409" s="3">
        <v>269.52999999999997</v>
      </c>
      <c r="C409" s="3">
        <v>512.20000000000005</v>
      </c>
      <c r="D409" s="3">
        <v>277.16000000000003</v>
      </c>
      <c r="E409" s="4">
        <f t="shared" si="18"/>
        <v>3.6866016235940725E-3</v>
      </c>
      <c r="F409" s="4">
        <f t="shared" si="20"/>
        <v>-1.5125952644132348E-3</v>
      </c>
      <c r="G409" s="4">
        <f t="shared" si="19"/>
        <v>-2.1811251499964532E-2</v>
      </c>
    </row>
    <row r="410" spans="1:7">
      <c r="A410" s="2">
        <v>45966</v>
      </c>
      <c r="B410" s="3">
        <v>269.63</v>
      </c>
      <c r="C410" s="3">
        <v>505.06</v>
      </c>
      <c r="D410" s="3">
        <v>283.92</v>
      </c>
      <c r="E410" s="4">
        <f t="shared" si="18"/>
        <v>3.7101621340861034E-4</v>
      </c>
      <c r="F410" s="4">
        <f t="shared" si="20"/>
        <v>-5.2244168657381981E-3</v>
      </c>
      <c r="G410" s="4">
        <f t="shared" si="19"/>
        <v>2.4390243902438991E-2</v>
      </c>
    </row>
    <row r="411" spans="1:7">
      <c r="A411" s="2">
        <v>45967</v>
      </c>
      <c r="B411" s="3">
        <v>269.26</v>
      </c>
      <c r="C411" s="3">
        <v>495.04</v>
      </c>
      <c r="D411" s="3">
        <v>284.36</v>
      </c>
      <c r="E411" s="4">
        <f t="shared" si="18"/>
        <v>-1.3722508622927884E-3</v>
      </c>
      <c r="F411" s="4">
        <f t="shared" si="20"/>
        <v>-1.3939867239359709E-2</v>
      </c>
      <c r="G411" s="4">
        <f t="shared" si="19"/>
        <v>1.5497323189630802E-3</v>
      </c>
    </row>
    <row r="412" spans="1:7">
      <c r="A412" s="2">
        <v>45968</v>
      </c>
      <c r="B412" s="3">
        <v>267.95999999999998</v>
      </c>
      <c r="C412" s="3">
        <v>494.76</v>
      </c>
      <c r="D412" s="3">
        <v>278.45</v>
      </c>
      <c r="E412" s="4">
        <f t="shared" si="18"/>
        <v>-4.8280472405853505E-3</v>
      </c>
      <c r="F412" s="4">
        <f t="shared" si="20"/>
        <v>-1.9839227022531939E-2</v>
      </c>
      <c r="G412" s="4">
        <f t="shared" si="19"/>
        <v>-2.0783513855675992E-2</v>
      </c>
    </row>
    <row r="413" spans="1:7">
      <c r="A413" s="2">
        <v>45971</v>
      </c>
      <c r="B413" s="3">
        <v>269.18</v>
      </c>
      <c r="C413" s="3">
        <v>503.9</v>
      </c>
      <c r="D413" s="3">
        <v>289.70999999999998</v>
      </c>
      <c r="E413" s="4">
        <f t="shared" si="18"/>
        <v>4.5529183460218964E-3</v>
      </c>
      <c r="F413" s="4">
        <f t="shared" si="20"/>
        <v>-5.6561085972856647E-4</v>
      </c>
      <c r="G413" s="4">
        <f t="shared" si="19"/>
        <v>4.0438139701921318E-2</v>
      </c>
    </row>
    <row r="414" spans="1:7">
      <c r="A414" s="2">
        <v>45972</v>
      </c>
      <c r="B414" s="3">
        <v>274.99</v>
      </c>
      <c r="C414" s="3">
        <v>506.57</v>
      </c>
      <c r="D414" s="3">
        <v>290.91000000000003</v>
      </c>
      <c r="E414" s="4">
        <f t="shared" si="18"/>
        <v>2.1584070138940495E-2</v>
      </c>
      <c r="F414" s="4">
        <f t="shared" si="20"/>
        <v>1.8473603363246799E-2</v>
      </c>
      <c r="G414" s="4">
        <f t="shared" si="19"/>
        <v>4.1420731075905064E-3</v>
      </c>
    </row>
    <row r="415" spans="1:7">
      <c r="A415" s="2">
        <v>45973</v>
      </c>
      <c r="B415" s="3">
        <v>273.20999999999998</v>
      </c>
      <c r="C415" s="3">
        <v>509.02</v>
      </c>
      <c r="D415" s="3">
        <v>286.32</v>
      </c>
      <c r="E415" s="4">
        <f t="shared" si="18"/>
        <v>-6.4729626531874959E-3</v>
      </c>
      <c r="F415" s="4">
        <f t="shared" si="20"/>
        <v>5.2986703711054095E-3</v>
      </c>
      <c r="G415" s="4">
        <f t="shared" si="19"/>
        <v>-1.5778075693513565E-2</v>
      </c>
    </row>
    <row r="416" spans="1:7">
      <c r="A416" s="2">
        <v>45974</v>
      </c>
      <c r="B416" s="3">
        <v>272.69</v>
      </c>
      <c r="C416" s="3">
        <v>501.21</v>
      </c>
      <c r="D416" s="3">
        <v>278.19</v>
      </c>
      <c r="E416" s="4">
        <f t="shared" si="18"/>
        <v>-1.9032978295083704E-3</v>
      </c>
      <c r="F416" s="4">
        <f t="shared" si="20"/>
        <v>4.836449059359987E-3</v>
      </c>
      <c r="G416" s="4">
        <f t="shared" si="19"/>
        <v>-2.8394803017602666E-2</v>
      </c>
    </row>
    <row r="417" spans="1:7">
      <c r="A417" s="2">
        <v>45975</v>
      </c>
      <c r="B417" s="3">
        <v>272.16000000000003</v>
      </c>
      <c r="C417" s="3">
        <v>508.07</v>
      </c>
      <c r="D417" s="3">
        <v>276.04000000000002</v>
      </c>
      <c r="E417" s="4">
        <f t="shared" si="18"/>
        <v>-1.9435989585242317E-3</v>
      </c>
      <c r="F417" s="4">
        <f t="shared" si="20"/>
        <v>-1.5343208518329344E-2</v>
      </c>
      <c r="G417" s="4">
        <f t="shared" si="19"/>
        <v>-7.7285308602033764E-3</v>
      </c>
    </row>
    <row r="418" spans="1:7">
      <c r="A418" s="2">
        <v>45978</v>
      </c>
      <c r="B418" s="3">
        <v>267.20999999999998</v>
      </c>
      <c r="C418" s="3">
        <v>505.39</v>
      </c>
      <c r="D418" s="3">
        <v>284.63</v>
      </c>
      <c r="E418" s="4">
        <f t="shared" si="18"/>
        <v>-1.8187830687830853E-2</v>
      </c>
      <c r="F418" s="4">
        <f t="shared" si="20"/>
        <v>1.3686877755830917E-2</v>
      </c>
      <c r="G418" s="4">
        <f t="shared" si="19"/>
        <v>3.1118678452398109E-2</v>
      </c>
    </row>
    <row r="419" spans="1:7">
      <c r="A419" s="2">
        <v>45979</v>
      </c>
      <c r="B419" s="3">
        <v>267.19</v>
      </c>
      <c r="C419" s="3">
        <v>491.75</v>
      </c>
      <c r="D419" s="3">
        <v>283.89</v>
      </c>
      <c r="E419" s="4">
        <f t="shared" si="18"/>
        <v>-7.484749822230385E-5</v>
      </c>
      <c r="F419" s="4">
        <f t="shared" si="20"/>
        <v>-5.2748636998838881E-3</v>
      </c>
      <c r="G419" s="4">
        <f t="shared" si="19"/>
        <v>-2.5998664933422656E-3</v>
      </c>
    </row>
    <row r="420" spans="1:7">
      <c r="A420" s="2">
        <v>45980</v>
      </c>
      <c r="B420" s="3">
        <v>268.31</v>
      </c>
      <c r="C420" s="3">
        <v>485.1</v>
      </c>
      <c r="D420" s="3">
        <v>292.41000000000003</v>
      </c>
      <c r="E420" s="4">
        <f t="shared" si="18"/>
        <v>4.1917736442232288E-3</v>
      </c>
      <c r="F420" s="4">
        <f t="shared" si="20"/>
        <v>-2.6989057955242458E-2</v>
      </c>
      <c r="G420" s="4">
        <f t="shared" si="19"/>
        <v>3.0011624220648979E-2</v>
      </c>
    </row>
    <row r="421" spans="1:7">
      <c r="A421" s="2">
        <v>45981</v>
      </c>
      <c r="B421" s="3">
        <v>266</v>
      </c>
      <c r="C421" s="3">
        <v>477.34</v>
      </c>
      <c r="D421" s="3">
        <v>289.06</v>
      </c>
      <c r="E421" s="4">
        <f t="shared" si="18"/>
        <v>-8.6094442995043128E-3</v>
      </c>
      <c r="F421" s="4">
        <f t="shared" si="20"/>
        <v>-1.3523131672597818E-2</v>
      </c>
      <c r="G421" s="4">
        <f t="shared" si="19"/>
        <v>-1.1456516535002299E-2</v>
      </c>
    </row>
    <row r="422" spans="1:7">
      <c r="A422" s="2">
        <v>45982</v>
      </c>
      <c r="B422" s="3">
        <v>271.24</v>
      </c>
      <c r="C422" s="3">
        <v>471.04</v>
      </c>
      <c r="D422" s="3">
        <v>299.25</v>
      </c>
      <c r="E422" s="4">
        <f t="shared" si="18"/>
        <v>1.9699248120300786E-2</v>
      </c>
      <c r="F422" s="4">
        <f t="shared" si="20"/>
        <v>-1.5996701710987524E-2</v>
      </c>
      <c r="G422" s="4">
        <f t="shared" si="19"/>
        <v>3.525219677575589E-2</v>
      </c>
    </row>
    <row r="423" spans="1:7">
      <c r="A423" s="2">
        <v>45985</v>
      </c>
      <c r="B423" s="3">
        <v>275.66000000000003</v>
      </c>
      <c r="C423" s="3">
        <v>472.92</v>
      </c>
      <c r="D423" s="3">
        <v>318.14999999999998</v>
      </c>
      <c r="E423" s="4">
        <f t="shared" si="18"/>
        <v>1.6295531632502639E-2</v>
      </c>
      <c r="F423" s="4">
        <f t="shared" si="20"/>
        <v>-1.3198139690786348E-2</v>
      </c>
      <c r="G423" s="4">
        <f t="shared" si="19"/>
        <v>6.3157894736842024E-2</v>
      </c>
    </row>
    <row r="424" spans="1:7">
      <c r="A424" s="2">
        <v>45986</v>
      </c>
      <c r="B424" s="3">
        <v>276.70999999999998</v>
      </c>
      <c r="C424" s="3">
        <v>475.9</v>
      </c>
      <c r="D424" s="3">
        <v>323</v>
      </c>
      <c r="E424" s="4">
        <f t="shared" si="18"/>
        <v>3.8090401218891187E-3</v>
      </c>
      <c r="F424" s="4">
        <f t="shared" si="20"/>
        <v>3.9911684782608595E-3</v>
      </c>
      <c r="G424" s="4">
        <f t="shared" si="19"/>
        <v>1.5244381581015317E-2</v>
      </c>
    </row>
    <row r="425" spans="1:7">
      <c r="A425" s="2">
        <v>45987</v>
      </c>
      <c r="B425" s="3">
        <v>277.29000000000002</v>
      </c>
      <c r="C425" s="3">
        <v>484.39</v>
      </c>
      <c r="D425" s="3">
        <v>319.52</v>
      </c>
      <c r="E425" s="4">
        <f t="shared" si="18"/>
        <v>2.0960572440462612E-3</v>
      </c>
      <c r="F425" s="4">
        <f t="shared" si="20"/>
        <v>6.3012771716145673E-3</v>
      </c>
      <c r="G425" s="4">
        <f t="shared" si="19"/>
        <v>-1.0773993808049592E-2</v>
      </c>
    </row>
    <row r="426" spans="1:7">
      <c r="A426" s="2">
        <v>45989</v>
      </c>
      <c r="B426" s="3">
        <v>278.58999999999997</v>
      </c>
      <c r="C426" s="3">
        <v>490.89</v>
      </c>
      <c r="D426" s="3">
        <v>319.75</v>
      </c>
      <c r="E426" s="4">
        <f t="shared" si="18"/>
        <v>4.6882325363336377E-3</v>
      </c>
      <c r="F426" s="4">
        <f t="shared" si="20"/>
        <v>1.7839882328220234E-2</v>
      </c>
      <c r="G426" s="4">
        <f t="shared" si="19"/>
        <v>7.1982974461698239E-4</v>
      </c>
    </row>
    <row r="427" spans="1:7">
      <c r="A427" s="2">
        <v>45992</v>
      </c>
      <c r="B427" s="3">
        <v>282.83999999999997</v>
      </c>
      <c r="C427" s="3">
        <v>485.63</v>
      </c>
      <c r="D427" s="3">
        <v>314.45999999999998</v>
      </c>
      <c r="E427" s="4">
        <f t="shared" si="18"/>
        <v>1.5255393230194911E-2</v>
      </c>
      <c r="F427" s="4">
        <f t="shared" si="20"/>
        <v>1.3418939284460869E-2</v>
      </c>
      <c r="G427" s="4">
        <f t="shared" si="19"/>
        <v>-1.6544175136825708E-2</v>
      </c>
    </row>
    <row r="428" spans="1:7">
      <c r="A428" s="2">
        <v>45993</v>
      </c>
      <c r="B428" s="3">
        <v>285.92</v>
      </c>
      <c r="C428" s="3">
        <v>488.88</v>
      </c>
      <c r="D428" s="3">
        <v>315.38</v>
      </c>
      <c r="E428" s="4">
        <f t="shared" si="18"/>
        <v>1.088954886154731E-2</v>
      </c>
      <c r="F428" s="4">
        <f t="shared" si="20"/>
        <v>-1.0715231518262728E-2</v>
      </c>
      <c r="G428" s="4">
        <f t="shared" si="19"/>
        <v>2.9256503211855752E-3</v>
      </c>
    </row>
    <row r="429" spans="1:7">
      <c r="A429" s="2">
        <v>45994</v>
      </c>
      <c r="B429" s="3">
        <v>283.88</v>
      </c>
      <c r="C429" s="3">
        <v>476.64</v>
      </c>
      <c r="D429" s="3">
        <v>319.2</v>
      </c>
      <c r="E429" s="4">
        <f t="shared" si="18"/>
        <v>-7.1348628987129977E-3</v>
      </c>
      <c r="F429" s="4">
        <f t="shared" si="20"/>
        <v>6.6923377880279229E-3</v>
      </c>
      <c r="G429" s="4">
        <f t="shared" si="19"/>
        <v>1.2112372376181093E-2</v>
      </c>
    </row>
    <row r="430" spans="1:7">
      <c r="A430" s="2">
        <v>45995</v>
      </c>
      <c r="B430" s="3">
        <v>280.44</v>
      </c>
      <c r="C430" s="3">
        <v>479.74</v>
      </c>
      <c r="D430" s="3">
        <v>317.19</v>
      </c>
      <c r="E430" s="4">
        <f t="shared" si="18"/>
        <v>-1.2117796251937431E-2</v>
      </c>
      <c r="F430" s="4">
        <f t="shared" si="20"/>
        <v>-2.503681885125186E-2</v>
      </c>
      <c r="G430" s="4">
        <f t="shared" si="19"/>
        <v>-6.2969924812029789E-3</v>
      </c>
    </row>
    <row r="431" spans="1:7">
      <c r="A431" s="2">
        <v>45996</v>
      </c>
      <c r="B431" s="3">
        <v>278.52</v>
      </c>
      <c r="C431" s="3">
        <v>482.06</v>
      </c>
      <c r="D431" s="3">
        <v>320.83</v>
      </c>
      <c r="E431" s="4">
        <f t="shared" si="18"/>
        <v>-6.8463842533162738E-3</v>
      </c>
      <c r="F431" s="4">
        <f t="shared" si="20"/>
        <v>6.5038603558241499E-3</v>
      </c>
      <c r="G431" s="4">
        <f t="shared" si="19"/>
        <v>1.1475771619533991E-2</v>
      </c>
    </row>
    <row r="432" spans="1:7">
      <c r="A432" s="2">
        <v>45999</v>
      </c>
      <c r="B432" s="3">
        <v>277.63</v>
      </c>
      <c r="C432" s="3">
        <v>489.9</v>
      </c>
      <c r="D432" s="3">
        <v>313.5</v>
      </c>
      <c r="E432" s="4">
        <f t="shared" si="18"/>
        <v>-3.1954617262673645E-3</v>
      </c>
      <c r="F432" s="4">
        <f t="shared" si="20"/>
        <v>4.8359528077708616E-3</v>
      </c>
      <c r="G432" s="4">
        <f t="shared" si="19"/>
        <v>-2.2846990618084297E-2</v>
      </c>
    </row>
    <row r="433" spans="1:7">
      <c r="A433" s="2">
        <v>46000</v>
      </c>
      <c r="B433" s="3">
        <v>276.92</v>
      </c>
      <c r="C433" s="3">
        <v>490.9</v>
      </c>
      <c r="D433" s="3">
        <v>316.86</v>
      </c>
      <c r="E433" s="4">
        <f t="shared" si="18"/>
        <v>-2.557360515794329E-3</v>
      </c>
      <c r="F433" s="4">
        <f t="shared" si="20"/>
        <v>1.6263535659461426E-2</v>
      </c>
      <c r="G433" s="4">
        <f t="shared" si="19"/>
        <v>1.0717703349282339E-2</v>
      </c>
    </row>
    <row r="434" spans="1:7">
      <c r="A434" s="2">
        <v>46001</v>
      </c>
      <c r="B434" s="3">
        <v>278.52</v>
      </c>
      <c r="C434" s="3">
        <v>477.47</v>
      </c>
      <c r="D434" s="3">
        <v>319.98</v>
      </c>
      <c r="E434" s="4">
        <f t="shared" si="18"/>
        <v>5.7778419760218325E-3</v>
      </c>
      <c r="F434" s="4">
        <f t="shared" si="20"/>
        <v>2.0412329046744235E-3</v>
      </c>
      <c r="G434" s="4">
        <f t="shared" si="19"/>
        <v>9.8466199583412371E-3</v>
      </c>
    </row>
    <row r="435" spans="1:7">
      <c r="A435" s="2">
        <v>46002</v>
      </c>
      <c r="B435" s="3">
        <v>277.77</v>
      </c>
      <c r="C435" s="3">
        <v>482.37</v>
      </c>
      <c r="D435" s="3">
        <v>312.20999999999998</v>
      </c>
      <c r="E435" s="4">
        <f t="shared" si="18"/>
        <v>-2.6928048255062476E-3</v>
      </c>
      <c r="F435" s="4">
        <f t="shared" si="20"/>
        <v>-2.7357914035445002E-2</v>
      </c>
      <c r="G435" s="4">
        <f t="shared" si="19"/>
        <v>-2.4282767672979679E-2</v>
      </c>
    </row>
    <row r="436" spans="1:7">
      <c r="A436" s="2">
        <v>46003</v>
      </c>
      <c r="B436" s="3">
        <v>278.02</v>
      </c>
      <c r="C436" s="3">
        <v>477.44</v>
      </c>
      <c r="D436" s="3">
        <v>309.07</v>
      </c>
      <c r="E436" s="4">
        <f t="shared" si="18"/>
        <v>9.0002520070561981E-4</v>
      </c>
      <c r="F436" s="4">
        <f t="shared" si="20"/>
        <v>1.0262424864389337E-2</v>
      </c>
      <c r="G436" s="4">
        <f t="shared" si="19"/>
        <v>-1.0057333205214396E-2</v>
      </c>
    </row>
    <row r="437" spans="1:7">
      <c r="A437" s="2">
        <v>46006</v>
      </c>
      <c r="B437" s="3">
        <v>273.85000000000002</v>
      </c>
      <c r="C437" s="3">
        <v>473.74</v>
      </c>
      <c r="D437" s="3">
        <v>308</v>
      </c>
      <c r="E437" s="4">
        <f t="shared" si="18"/>
        <v>-1.4998920940939355E-2</v>
      </c>
      <c r="F437" s="4">
        <f t="shared" si="20"/>
        <v>-1.0220370255198306E-2</v>
      </c>
      <c r="G437" s="4">
        <f t="shared" si="19"/>
        <v>-3.4619988999255611E-3</v>
      </c>
    </row>
    <row r="438" spans="1:7">
      <c r="A438" s="2">
        <v>46007</v>
      </c>
      <c r="B438" s="3">
        <v>274.35000000000002</v>
      </c>
      <c r="C438" s="3">
        <v>475.31</v>
      </c>
      <c r="D438" s="3">
        <v>306.35000000000002</v>
      </c>
      <c r="E438" s="4">
        <f t="shared" si="18"/>
        <v>1.825817053131276E-3</v>
      </c>
      <c r="F438" s="4">
        <f t="shared" si="20"/>
        <v>-7.7496648793565449E-3</v>
      </c>
      <c r="G438" s="4">
        <f t="shared" si="19"/>
        <v>-5.3571428571427835E-3</v>
      </c>
    </row>
    <row r="439" spans="1:7">
      <c r="A439" s="2">
        <v>46008</v>
      </c>
      <c r="B439" s="3">
        <v>271.58999999999997</v>
      </c>
      <c r="C439" s="3">
        <v>475.04</v>
      </c>
      <c r="D439" s="3">
        <v>296.51</v>
      </c>
      <c r="E439" s="4">
        <f t="shared" si="18"/>
        <v>-1.0060142154182787E-2</v>
      </c>
      <c r="F439" s="4">
        <f t="shared" si="20"/>
        <v>3.3140541225144451E-3</v>
      </c>
      <c r="G439" s="4">
        <f t="shared" si="19"/>
        <v>-3.212012404112953E-2</v>
      </c>
    </row>
    <row r="440" spans="1:7">
      <c r="A440" s="2">
        <v>46009</v>
      </c>
      <c r="B440" s="3">
        <v>271.94</v>
      </c>
      <c r="C440" s="3">
        <v>482.88</v>
      </c>
      <c r="D440" s="3">
        <v>302.25</v>
      </c>
      <c r="E440" s="4">
        <f t="shared" si="18"/>
        <v>1.2887072425347868E-3</v>
      </c>
      <c r="F440" s="4">
        <f t="shared" si="20"/>
        <v>-5.680503250509811E-4</v>
      </c>
      <c r="G440" s="4">
        <f t="shared" si="19"/>
        <v>1.9358537654716568E-2</v>
      </c>
    </row>
    <row r="441" spans="1:7">
      <c r="A441" s="2">
        <v>46010</v>
      </c>
      <c r="B441" s="3">
        <v>273.41000000000003</v>
      </c>
      <c r="C441" s="3">
        <v>484.81</v>
      </c>
      <c r="D441" s="3">
        <v>306.94</v>
      </c>
      <c r="E441" s="4">
        <f t="shared" si="18"/>
        <v>5.4056041773921717E-3</v>
      </c>
      <c r="F441" s="4">
        <f t="shared" si="20"/>
        <v>1.6503873358032953E-2</v>
      </c>
      <c r="G441" s="4">
        <f t="shared" si="19"/>
        <v>1.5516956162117445E-2</v>
      </c>
    </row>
    <row r="442" spans="1:7">
      <c r="A442" s="2">
        <v>46013</v>
      </c>
      <c r="B442" s="3">
        <v>270.72000000000003</v>
      </c>
      <c r="C442" s="3">
        <v>483.82</v>
      </c>
      <c r="D442" s="3">
        <v>309.56</v>
      </c>
      <c r="E442" s="4">
        <f t="shared" si="18"/>
        <v>-9.8387037782085417E-3</v>
      </c>
      <c r="F442" s="4">
        <f t="shared" si="20"/>
        <v>3.9968522200132675E-3</v>
      </c>
      <c r="G442" s="4">
        <f t="shared" si="19"/>
        <v>8.5358702026454829E-3</v>
      </c>
    </row>
    <row r="443" spans="1:7">
      <c r="A443" s="2">
        <v>46014</v>
      </c>
      <c r="B443" s="3">
        <v>272.11</v>
      </c>
      <c r="C443" s="3">
        <v>485.74</v>
      </c>
      <c r="D443" s="3">
        <v>314.13</v>
      </c>
      <c r="E443" s="4">
        <f t="shared" si="18"/>
        <v>5.134456264775363E-3</v>
      </c>
      <c r="F443" s="4">
        <f t="shared" si="20"/>
        <v>-2.042037086693775E-3</v>
      </c>
      <c r="G443" s="4">
        <f t="shared" si="19"/>
        <v>1.4762889262178554E-2</v>
      </c>
    </row>
    <row r="444" spans="1:7">
      <c r="A444" s="2">
        <v>46015</v>
      </c>
      <c r="B444" s="3">
        <v>273.55</v>
      </c>
      <c r="C444" s="3">
        <v>486.91</v>
      </c>
      <c r="D444" s="3">
        <v>313.87</v>
      </c>
      <c r="E444" s="4">
        <f t="shared" si="18"/>
        <v>5.291977509095578E-3</v>
      </c>
      <c r="F444" s="4">
        <f t="shared" si="20"/>
        <v>3.9684180066967382E-3</v>
      </c>
      <c r="G444" s="4">
        <f t="shared" si="19"/>
        <v>-8.2768280648136416E-4</v>
      </c>
    </row>
    <row r="445" spans="1:7">
      <c r="A445" s="2">
        <v>46017</v>
      </c>
      <c r="B445" s="3">
        <v>273.14</v>
      </c>
      <c r="C445" s="3">
        <v>486.6</v>
      </c>
      <c r="D445" s="3">
        <v>313.29000000000002</v>
      </c>
      <c r="E445" s="4">
        <f t="shared" si="18"/>
        <v>-1.4988119173826541E-3</v>
      </c>
      <c r="F445" s="4">
        <f t="shared" si="20"/>
        <v>2.4086960102112569E-3</v>
      </c>
      <c r="G445" s="4">
        <f t="shared" si="19"/>
        <v>-1.8478988116098515E-3</v>
      </c>
    </row>
    <row r="446" spans="1:7">
      <c r="A446" s="2">
        <v>46020</v>
      </c>
      <c r="B446" s="3">
        <v>273.5</v>
      </c>
      <c r="C446" s="3">
        <v>485.99</v>
      </c>
      <c r="D446" s="3">
        <v>313.33999999999997</v>
      </c>
      <c r="E446" s="4">
        <f t="shared" si="18"/>
        <v>1.3180054184667705E-3</v>
      </c>
      <c r="F446" s="4">
        <f t="shared" si="20"/>
        <v>-6.3666796738617458E-4</v>
      </c>
      <c r="G446" s="4">
        <f t="shared" si="19"/>
        <v>1.5959653994686879E-4</v>
      </c>
    </row>
    <row r="447" spans="1:7">
      <c r="A447" s="2">
        <v>46021</v>
      </c>
      <c r="B447" s="3">
        <v>272.82</v>
      </c>
      <c r="C447" s="3">
        <v>486.37</v>
      </c>
      <c r="D447" s="3">
        <v>313.63</v>
      </c>
      <c r="E447" s="4">
        <f t="shared" si="18"/>
        <v>-2.4862888482632792E-3</v>
      </c>
      <c r="F447" s="4">
        <f t="shared" si="20"/>
        <v>-1.2535963830662014E-3</v>
      </c>
      <c r="G447" s="4">
        <f t="shared" si="19"/>
        <v>9.2551222314425381E-4</v>
      </c>
    </row>
    <row r="448" spans="1:7">
      <c r="A448" s="2">
        <v>46022</v>
      </c>
      <c r="B448" s="3">
        <v>271.61</v>
      </c>
      <c r="C448" s="3">
        <v>482.52</v>
      </c>
      <c r="D448" s="3">
        <v>312.77999999999997</v>
      </c>
      <c r="E448" s="4">
        <f t="shared" si="18"/>
        <v>-4.4351587127042721E-3</v>
      </c>
      <c r="F448" s="4">
        <f t="shared" si="20"/>
        <v>7.8190909277967751E-4</v>
      </c>
      <c r="G448" s="4">
        <f t="shared" si="19"/>
        <v>-2.7101999170998396E-3</v>
      </c>
    </row>
    <row r="449" spans="1:7">
      <c r="A449" s="2">
        <v>46024</v>
      </c>
      <c r="B449" s="3">
        <v>270.76</v>
      </c>
      <c r="C449" s="3">
        <v>471.86</v>
      </c>
      <c r="D449" s="3">
        <v>314.93</v>
      </c>
      <c r="E449" s="4">
        <f t="shared" si="18"/>
        <v>-3.1294871322853457E-3</v>
      </c>
      <c r="F449" s="4">
        <f t="shared" si="20"/>
        <v>-7.9157842794580716E-3</v>
      </c>
      <c r="G449" s="4">
        <f t="shared" si="19"/>
        <v>6.8738410384296764E-3</v>
      </c>
    </row>
    <row r="450" spans="1:7">
      <c r="A450" s="2">
        <v>46027</v>
      </c>
      <c r="B450" s="3">
        <v>267.01</v>
      </c>
      <c r="C450" s="3">
        <v>471.77</v>
      </c>
      <c r="D450" s="3">
        <v>316.32</v>
      </c>
      <c r="E450" s="4">
        <f t="shared" si="18"/>
        <v>-1.3849903973999114E-2</v>
      </c>
      <c r="F450" s="4">
        <f t="shared" si="20"/>
        <v>-2.2092348503688901E-2</v>
      </c>
      <c r="G450" s="4">
        <f t="shared" si="19"/>
        <v>4.4136792303051042E-3</v>
      </c>
    </row>
    <row r="451" spans="1:7">
      <c r="A451" s="2">
        <v>46028</v>
      </c>
      <c r="B451" s="3">
        <v>262.11</v>
      </c>
      <c r="C451" s="3">
        <v>477.42</v>
      </c>
      <c r="D451" s="3">
        <v>314.12</v>
      </c>
      <c r="E451" s="4">
        <f t="shared" si="18"/>
        <v>-1.8351372607767414E-2</v>
      </c>
      <c r="F451" s="4">
        <f t="shared" si="20"/>
        <v>-1.9073453990597176E-4</v>
      </c>
      <c r="G451" s="4">
        <f t="shared" si="19"/>
        <v>-6.9549822964086643E-3</v>
      </c>
    </row>
    <row r="452" spans="1:7">
      <c r="A452" s="2">
        <v>46029</v>
      </c>
      <c r="B452" s="3">
        <v>260.08999999999997</v>
      </c>
      <c r="C452" s="3">
        <v>482.37</v>
      </c>
      <c r="D452" s="3">
        <v>321.75</v>
      </c>
      <c r="E452" s="4">
        <f t="shared" ref="E452:E502" si="21">(B452-B451)/B451</f>
        <v>-7.706688031742545E-3</v>
      </c>
      <c r="F452" s="4">
        <f t="shared" si="20"/>
        <v>1.1976174830955835E-2</v>
      </c>
      <c r="G452" s="4">
        <f t="shared" ref="G452:G502" si="22">(D452-D451)/D451</f>
        <v>2.4290080224118157E-2</v>
      </c>
    </row>
    <row r="453" spans="1:7">
      <c r="A453" s="2">
        <v>46030</v>
      </c>
      <c r="B453" s="3">
        <v>258.8</v>
      </c>
      <c r="C453" s="3">
        <v>477.02</v>
      </c>
      <c r="D453" s="3">
        <v>325.20999999999998</v>
      </c>
      <c r="E453" s="4">
        <f t="shared" si="21"/>
        <v>-4.9598216002151706E-3</v>
      </c>
      <c r="F453" s="4">
        <f t="shared" ref="F453:F502" si="23">(C452-C451)/C451</f>
        <v>1.0368229232122635E-2</v>
      </c>
      <c r="G453" s="4">
        <f t="shared" si="22"/>
        <v>1.0753690753690689E-2</v>
      </c>
    </row>
    <row r="454" spans="1:7">
      <c r="A454" s="2">
        <v>46031</v>
      </c>
      <c r="B454" s="3">
        <v>259.13</v>
      </c>
      <c r="C454" s="3">
        <v>478.19</v>
      </c>
      <c r="D454" s="3">
        <v>328.34</v>
      </c>
      <c r="E454" s="4">
        <f t="shared" si="21"/>
        <v>1.2751159196289956E-3</v>
      </c>
      <c r="F454" s="4">
        <f t="shared" si="23"/>
        <v>-1.1091071169434299E-2</v>
      </c>
      <c r="G454" s="4">
        <f t="shared" si="22"/>
        <v>9.6245502905814573E-3</v>
      </c>
    </row>
    <row r="455" spans="1:7">
      <c r="A455" s="2">
        <v>46034</v>
      </c>
      <c r="B455" s="3">
        <v>260.01</v>
      </c>
      <c r="C455" s="3">
        <v>476.09</v>
      </c>
      <c r="D455" s="3">
        <v>331.63</v>
      </c>
      <c r="E455" s="4">
        <f t="shared" si="21"/>
        <v>3.3959788523134932E-3</v>
      </c>
      <c r="F455" s="4">
        <f t="shared" si="23"/>
        <v>2.4527273489581484E-3</v>
      </c>
      <c r="G455" s="4">
        <f t="shared" si="22"/>
        <v>1.0020101114698242E-2</v>
      </c>
    </row>
    <row r="456" spans="1:7">
      <c r="A456" s="2">
        <v>46035</v>
      </c>
      <c r="B456" s="3">
        <v>260.81</v>
      </c>
      <c r="C456" s="3">
        <v>469.6</v>
      </c>
      <c r="D456" s="3">
        <v>335.73</v>
      </c>
      <c r="E456" s="4">
        <f t="shared" si="21"/>
        <v>3.0768047382793407E-3</v>
      </c>
      <c r="F456" s="4">
        <f t="shared" si="23"/>
        <v>-4.3915598402309184E-3</v>
      </c>
      <c r="G456" s="4">
        <f t="shared" si="22"/>
        <v>1.2363175828483619E-2</v>
      </c>
    </row>
    <row r="457" spans="1:7">
      <c r="A457" s="2">
        <v>46036</v>
      </c>
      <c r="B457" s="3">
        <v>259.72000000000003</v>
      </c>
      <c r="C457" s="3">
        <v>458.33</v>
      </c>
      <c r="D457" s="3">
        <v>335.6</v>
      </c>
      <c r="E457" s="4">
        <f t="shared" si="21"/>
        <v>-4.1792876040028177E-3</v>
      </c>
      <c r="F457" s="4">
        <f t="shared" si="23"/>
        <v>-1.3631876325904665E-2</v>
      </c>
      <c r="G457" s="4">
        <f t="shared" si="22"/>
        <v>-3.8721591755278185E-4</v>
      </c>
    </row>
    <row r="458" spans="1:7">
      <c r="A458" s="2">
        <v>46037</v>
      </c>
      <c r="B458" s="3">
        <v>257.97000000000003</v>
      </c>
      <c r="C458" s="3">
        <v>455.62</v>
      </c>
      <c r="D458" s="3">
        <v>332.55</v>
      </c>
      <c r="E458" s="4">
        <f t="shared" si="21"/>
        <v>-6.7380255659941464E-3</v>
      </c>
      <c r="F458" s="4">
        <f t="shared" si="23"/>
        <v>-2.3999148211243694E-2</v>
      </c>
      <c r="G458" s="4">
        <f t="shared" si="22"/>
        <v>-9.0882002383790555E-3</v>
      </c>
    </row>
    <row r="459" spans="1:7">
      <c r="A459" s="2">
        <v>46038</v>
      </c>
      <c r="B459" s="3">
        <v>255.29</v>
      </c>
      <c r="C459" s="3">
        <v>458.81</v>
      </c>
      <c r="D459" s="3">
        <v>329.77</v>
      </c>
      <c r="E459" s="4">
        <f t="shared" si="21"/>
        <v>-1.0388804899794685E-2</v>
      </c>
      <c r="F459" s="4">
        <f t="shared" si="23"/>
        <v>-5.9127702746928626E-3</v>
      </c>
      <c r="G459" s="4">
        <f t="shared" si="22"/>
        <v>-8.3596451661405186E-3</v>
      </c>
    </row>
    <row r="460" spans="1:7">
      <c r="A460" s="2">
        <v>46042</v>
      </c>
      <c r="B460" s="3">
        <v>246.47</v>
      </c>
      <c r="C460" s="3">
        <v>453.48</v>
      </c>
      <c r="D460" s="3">
        <v>321.77</v>
      </c>
      <c r="E460" s="4">
        <f t="shared" si="21"/>
        <v>-3.4548944337811874E-2</v>
      </c>
      <c r="F460" s="4">
        <f t="shared" si="23"/>
        <v>7.0014485755673537E-3</v>
      </c>
      <c r="G460" s="4">
        <f t="shared" si="22"/>
        <v>-2.4259332261879492E-2</v>
      </c>
    </row>
    <row r="461" spans="1:7">
      <c r="A461" s="2">
        <v>46043</v>
      </c>
      <c r="B461" s="3">
        <v>247.42</v>
      </c>
      <c r="C461" s="3">
        <v>443.1</v>
      </c>
      <c r="D461" s="3">
        <v>328.15</v>
      </c>
      <c r="E461" s="4">
        <f t="shared" si="21"/>
        <v>3.8544244735667166E-3</v>
      </c>
      <c r="F461" s="4">
        <f t="shared" si="23"/>
        <v>-1.1617009219502591E-2</v>
      </c>
      <c r="G461" s="4">
        <f t="shared" si="22"/>
        <v>1.982782733008048E-2</v>
      </c>
    </row>
    <row r="462" spans="1:7">
      <c r="A462" s="2">
        <v>46044</v>
      </c>
      <c r="B462" s="3">
        <v>248.12</v>
      </c>
      <c r="C462" s="3">
        <v>450.11</v>
      </c>
      <c r="D462" s="3">
        <v>330.31</v>
      </c>
      <c r="E462" s="4">
        <f t="shared" si="21"/>
        <v>2.829197316304329E-3</v>
      </c>
      <c r="F462" s="4">
        <f t="shared" si="23"/>
        <v>-2.2889653347446404E-2</v>
      </c>
      <c r="G462" s="4">
        <f t="shared" si="22"/>
        <v>6.582355630047311E-3</v>
      </c>
    </row>
    <row r="463" spans="1:7">
      <c r="A463" s="2">
        <v>46045</v>
      </c>
      <c r="B463" s="3">
        <v>247.81</v>
      </c>
      <c r="C463" s="3">
        <v>464.89</v>
      </c>
      <c r="D463" s="3">
        <v>327.7</v>
      </c>
      <c r="E463" s="4">
        <f t="shared" si="21"/>
        <v>-1.2493954538126805E-3</v>
      </c>
      <c r="F463" s="4">
        <f t="shared" si="23"/>
        <v>1.5820356578650396E-2</v>
      </c>
      <c r="G463" s="4">
        <f t="shared" si="22"/>
        <v>-7.901668129938583E-3</v>
      </c>
    </row>
    <row r="464" spans="1:7">
      <c r="A464" s="2">
        <v>46048</v>
      </c>
      <c r="B464" s="3">
        <v>255.17</v>
      </c>
      <c r="C464" s="3">
        <v>469.21</v>
      </c>
      <c r="D464" s="3">
        <v>333.03</v>
      </c>
      <c r="E464" s="4">
        <f t="shared" si="21"/>
        <v>2.9700173520035452E-2</v>
      </c>
      <c r="F464" s="4">
        <f t="shared" si="23"/>
        <v>3.2836417764546384E-2</v>
      </c>
      <c r="G464" s="4">
        <f t="shared" si="22"/>
        <v>1.6264876411351797E-2</v>
      </c>
    </row>
    <row r="465" spans="1:7">
      <c r="A465" s="2">
        <v>46049</v>
      </c>
      <c r="B465" s="3">
        <v>258.02999999999997</v>
      </c>
      <c r="C465" s="3">
        <v>479.49</v>
      </c>
      <c r="D465" s="3">
        <v>334.31</v>
      </c>
      <c r="E465" s="4">
        <f t="shared" si="21"/>
        <v>1.1208214131755243E-2</v>
      </c>
      <c r="F465" s="4">
        <f t="shared" si="23"/>
        <v>9.2925208113747194E-3</v>
      </c>
      <c r="G465" s="4">
        <f t="shared" si="22"/>
        <v>3.8434975828004372E-3</v>
      </c>
    </row>
    <row r="466" spans="1:7">
      <c r="A466" s="2">
        <v>46050</v>
      </c>
      <c r="B466" s="3">
        <v>256.2</v>
      </c>
      <c r="C466" s="3">
        <v>480.53</v>
      </c>
      <c r="D466" s="3">
        <v>335.77</v>
      </c>
      <c r="E466" s="4">
        <f t="shared" si="21"/>
        <v>-7.0921985815602228E-3</v>
      </c>
      <c r="F466" s="4">
        <f t="shared" si="23"/>
        <v>2.1909166471302893E-2</v>
      </c>
      <c r="G466" s="4">
        <f t="shared" si="22"/>
        <v>4.3672040920103485E-3</v>
      </c>
    </row>
    <row r="467" spans="1:7">
      <c r="A467" s="2">
        <v>46051</v>
      </c>
      <c r="B467" s="3">
        <v>258.04000000000002</v>
      </c>
      <c r="C467" s="3">
        <v>432.51</v>
      </c>
      <c r="D467" s="3">
        <v>338.01</v>
      </c>
      <c r="E467" s="4">
        <f t="shared" si="21"/>
        <v>7.1818891491023888E-3</v>
      </c>
      <c r="F467" s="4">
        <f t="shared" si="23"/>
        <v>2.1689711985650663E-3</v>
      </c>
      <c r="G467" s="4">
        <f t="shared" si="22"/>
        <v>6.6712332846889516E-3</v>
      </c>
    </row>
    <row r="468" spans="1:7">
      <c r="A468" s="2">
        <v>46052</v>
      </c>
      <c r="B468" s="3">
        <v>259.24</v>
      </c>
      <c r="C468" s="3">
        <v>429.31</v>
      </c>
      <c r="D468" s="3">
        <v>337.76</v>
      </c>
      <c r="E468" s="4">
        <f t="shared" si="21"/>
        <v>4.6504417919701925E-3</v>
      </c>
      <c r="F468" s="4">
        <f t="shared" si="23"/>
        <v>-9.9931325827731843E-2</v>
      </c>
      <c r="G468" s="4">
        <f t="shared" si="22"/>
        <v>-7.3962308807431739E-4</v>
      </c>
    </row>
    <row r="469" spans="1:7">
      <c r="A469" s="2">
        <v>46055</v>
      </c>
      <c r="B469" s="3">
        <v>269.76</v>
      </c>
      <c r="C469" s="3">
        <v>422.41</v>
      </c>
      <c r="D469" s="3">
        <v>343.45</v>
      </c>
      <c r="E469" s="4">
        <f t="shared" si="21"/>
        <v>4.0580157383119819E-2</v>
      </c>
      <c r="F469" s="4">
        <f t="shared" si="23"/>
        <v>-7.3986728630551632E-3</v>
      </c>
      <c r="G469" s="4">
        <f t="shared" si="22"/>
        <v>1.6846281383230691E-2</v>
      </c>
    </row>
    <row r="470" spans="1:7">
      <c r="A470" s="2">
        <v>46056</v>
      </c>
      <c r="B470" s="3">
        <v>269.23</v>
      </c>
      <c r="C470" s="3">
        <v>410.27</v>
      </c>
      <c r="D470" s="3">
        <v>339.47</v>
      </c>
      <c r="E470" s="4">
        <f t="shared" si="21"/>
        <v>-1.9647093712929003E-3</v>
      </c>
      <c r="F470" s="4">
        <f t="shared" si="23"/>
        <v>-1.6072302066106024E-2</v>
      </c>
      <c r="G470" s="4">
        <f t="shared" si="22"/>
        <v>-1.1588295239481617E-2</v>
      </c>
    </row>
    <row r="471" spans="1:7">
      <c r="A471" s="2">
        <v>46057</v>
      </c>
      <c r="B471" s="3">
        <v>276.23</v>
      </c>
      <c r="C471" s="3">
        <v>413.25</v>
      </c>
      <c r="D471" s="3">
        <v>332.81</v>
      </c>
      <c r="E471" s="4">
        <f t="shared" si="21"/>
        <v>2.600007428592653E-2</v>
      </c>
      <c r="F471" s="4">
        <f t="shared" si="23"/>
        <v>-2.8739849908856425E-2</v>
      </c>
      <c r="G471" s="4">
        <f t="shared" si="22"/>
        <v>-1.9618817568562832E-2</v>
      </c>
    </row>
    <row r="472" spans="1:7">
      <c r="A472" s="2">
        <v>46058</v>
      </c>
      <c r="B472" s="3">
        <v>275.64999999999998</v>
      </c>
      <c r="C472" s="3">
        <v>392.77</v>
      </c>
      <c r="D472" s="3">
        <v>331.02</v>
      </c>
      <c r="E472" s="4">
        <f t="shared" si="21"/>
        <v>-2.0996995257576687E-3</v>
      </c>
      <c r="F472" s="4">
        <f t="shared" si="23"/>
        <v>7.2635093962512935E-3</v>
      </c>
      <c r="G472" s="4">
        <f t="shared" si="22"/>
        <v>-5.378444157327065E-3</v>
      </c>
    </row>
    <row r="473" spans="1:7">
      <c r="A473" s="2">
        <v>46059</v>
      </c>
      <c r="B473" s="3">
        <v>277.86</v>
      </c>
      <c r="C473" s="3">
        <v>400.23</v>
      </c>
      <c r="D473" s="3">
        <v>322.63</v>
      </c>
      <c r="E473" s="4">
        <f t="shared" si="21"/>
        <v>8.0174133865410363E-3</v>
      </c>
      <c r="F473" s="4">
        <f t="shared" si="23"/>
        <v>-4.9558378705384196E-2</v>
      </c>
      <c r="G473" s="4">
        <f t="shared" si="22"/>
        <v>-2.534590054981568E-2</v>
      </c>
    </row>
    <row r="474" spans="1:7">
      <c r="A474" s="2">
        <v>46062</v>
      </c>
      <c r="B474" s="3">
        <v>274.62</v>
      </c>
      <c r="C474" s="3">
        <v>412.66</v>
      </c>
      <c r="D474" s="3">
        <v>324.08999999999997</v>
      </c>
      <c r="E474" s="4">
        <f t="shared" si="21"/>
        <v>-1.1660548477650648E-2</v>
      </c>
      <c r="F474" s="4">
        <f t="shared" si="23"/>
        <v>1.8993303969244181E-2</v>
      </c>
      <c r="G474" s="4">
        <f t="shared" si="22"/>
        <v>4.5253076279328629E-3</v>
      </c>
    </row>
    <row r="475" spans="1:7">
      <c r="A475" s="2">
        <v>46063</v>
      </c>
      <c r="B475" s="3">
        <v>273.68</v>
      </c>
      <c r="C475" s="3">
        <v>412.33</v>
      </c>
      <c r="D475" s="3">
        <v>318.36</v>
      </c>
      <c r="E475" s="4">
        <f t="shared" si="21"/>
        <v>-3.4229116597480069E-3</v>
      </c>
      <c r="F475" s="4">
        <f t="shared" si="23"/>
        <v>3.1057142143267637E-2</v>
      </c>
      <c r="G475" s="4">
        <f t="shared" si="22"/>
        <v>-1.768027399796341E-2</v>
      </c>
    </row>
    <row r="476" spans="1:7">
      <c r="A476" s="2">
        <v>46064</v>
      </c>
      <c r="B476" s="3">
        <v>275.5</v>
      </c>
      <c r="C476" s="3">
        <v>403.45</v>
      </c>
      <c r="D476" s="3">
        <v>310.74</v>
      </c>
      <c r="E476" s="4">
        <f t="shared" si="21"/>
        <v>6.6501023092662712E-3</v>
      </c>
      <c r="F476" s="4">
        <f t="shared" si="23"/>
        <v>-7.9968981728309235E-4</v>
      </c>
      <c r="G476" s="4">
        <f t="shared" si="22"/>
        <v>-2.3935167734640043E-2</v>
      </c>
    </row>
    <row r="477" spans="1:7">
      <c r="A477" s="2">
        <v>46065</v>
      </c>
      <c r="B477" s="3">
        <v>261.73</v>
      </c>
      <c r="C477" s="3">
        <v>400.92</v>
      </c>
      <c r="D477" s="3">
        <v>308.77999999999997</v>
      </c>
      <c r="E477" s="4">
        <f t="shared" si="21"/>
        <v>-4.9981851179673256E-2</v>
      </c>
      <c r="F477" s="4">
        <f t="shared" si="23"/>
        <v>-2.153614823078601E-2</v>
      </c>
      <c r="G477" s="4">
        <f t="shared" si="22"/>
        <v>-6.3075239750274709E-3</v>
      </c>
    </row>
    <row r="478" spans="1:7">
      <c r="A478" s="2">
        <v>46066</v>
      </c>
      <c r="B478" s="3">
        <v>255.78</v>
      </c>
      <c r="C478" s="3">
        <v>400.41</v>
      </c>
      <c r="D478" s="3">
        <v>305.5</v>
      </c>
      <c r="E478" s="4">
        <f t="shared" si="21"/>
        <v>-2.2733351163412741E-2</v>
      </c>
      <c r="F478" s="4">
        <f t="shared" si="23"/>
        <v>-6.2709133721650084E-3</v>
      </c>
      <c r="G478" s="4">
        <f t="shared" si="22"/>
        <v>-1.0622449640520672E-2</v>
      </c>
    </row>
    <row r="479" spans="1:7">
      <c r="A479" s="2">
        <v>46070</v>
      </c>
      <c r="B479" s="3">
        <v>263.88</v>
      </c>
      <c r="C479" s="3">
        <v>395.96</v>
      </c>
      <c r="D479" s="3">
        <v>301.81</v>
      </c>
      <c r="E479" s="4">
        <f t="shared" si="21"/>
        <v>3.1667839549612928E-2</v>
      </c>
      <c r="F479" s="4">
        <f t="shared" si="23"/>
        <v>-1.2720742292726501E-3</v>
      </c>
      <c r="G479" s="4">
        <f t="shared" si="22"/>
        <v>-1.2078559738134199E-2</v>
      </c>
    </row>
    <row r="480" spans="1:7">
      <c r="A480" s="2">
        <v>46071</v>
      </c>
      <c r="B480" s="3">
        <v>264.35000000000002</v>
      </c>
      <c r="C480" s="3">
        <v>398.69</v>
      </c>
      <c r="D480" s="3">
        <v>303.12</v>
      </c>
      <c r="E480" s="4">
        <f t="shared" si="21"/>
        <v>1.7811126269517482E-3</v>
      </c>
      <c r="F480" s="4">
        <f t="shared" si="23"/>
        <v>-1.1113608551235096E-2</v>
      </c>
      <c r="G480" s="4">
        <f t="shared" si="22"/>
        <v>4.3404791093734543E-3</v>
      </c>
    </row>
    <row r="481" spans="1:7">
      <c r="A481" s="2">
        <v>46072</v>
      </c>
      <c r="B481" s="3">
        <v>260.58</v>
      </c>
      <c r="C481" s="3">
        <v>398.46</v>
      </c>
      <c r="D481" s="3">
        <v>302.64</v>
      </c>
      <c r="E481" s="4">
        <f t="shared" si="21"/>
        <v>-1.426139587667879E-2</v>
      </c>
      <c r="F481" s="4">
        <f t="shared" si="23"/>
        <v>6.8946358218002282E-3</v>
      </c>
      <c r="G481" s="4">
        <f t="shared" si="22"/>
        <v>-1.5835312747427362E-3</v>
      </c>
    </row>
    <row r="482" spans="1:7">
      <c r="A482" s="2">
        <v>46073</v>
      </c>
      <c r="B482" s="3">
        <v>264.58</v>
      </c>
      <c r="C482" s="3">
        <v>397.23</v>
      </c>
      <c r="D482" s="3">
        <v>314.76</v>
      </c>
      <c r="E482" s="4">
        <f t="shared" si="21"/>
        <v>1.5350372246526979E-2</v>
      </c>
      <c r="F482" s="4">
        <f t="shared" si="23"/>
        <v>-5.7688931249847797E-4</v>
      </c>
      <c r="G482" s="4">
        <f t="shared" si="22"/>
        <v>4.0047581284694704E-2</v>
      </c>
    </row>
    <row r="483" spans="1:7">
      <c r="A483" s="2">
        <v>46076</v>
      </c>
      <c r="B483" s="3">
        <v>266.18</v>
      </c>
      <c r="C483" s="3">
        <v>384.47</v>
      </c>
      <c r="D483" s="3">
        <v>311.27</v>
      </c>
      <c r="E483" s="4">
        <f t="shared" si="21"/>
        <v>6.0473202812004797E-3</v>
      </c>
      <c r="F483" s="4">
        <f t="shared" si="23"/>
        <v>-3.0868845053454836E-3</v>
      </c>
      <c r="G483" s="4">
        <f t="shared" si="22"/>
        <v>-1.1087812936840797E-2</v>
      </c>
    </row>
    <row r="484" spans="1:7">
      <c r="A484" s="2">
        <v>46077</v>
      </c>
      <c r="B484" s="3">
        <v>272.14</v>
      </c>
      <c r="C484" s="3">
        <v>389</v>
      </c>
      <c r="D484" s="3">
        <v>310.68</v>
      </c>
      <c r="E484" s="4">
        <f t="shared" si="21"/>
        <v>2.2390863325569086E-2</v>
      </c>
      <c r="F484" s="4">
        <f t="shared" si="23"/>
        <v>-3.2122447952068048E-2</v>
      </c>
      <c r="G484" s="4">
        <f t="shared" si="22"/>
        <v>-1.8954605326564559E-3</v>
      </c>
    </row>
    <row r="485" spans="1:7">
      <c r="A485" s="2">
        <v>46078</v>
      </c>
      <c r="B485" s="3">
        <v>274.23</v>
      </c>
      <c r="C485" s="3">
        <v>400.6</v>
      </c>
      <c r="D485" s="3">
        <v>312.68</v>
      </c>
      <c r="E485" s="4">
        <f t="shared" si="21"/>
        <v>7.679870654810142E-3</v>
      </c>
      <c r="F485" s="4">
        <f t="shared" si="23"/>
        <v>1.1782453767524053E-2</v>
      </c>
      <c r="G485" s="4">
        <f t="shared" si="22"/>
        <v>6.4374919531350588E-3</v>
      </c>
    </row>
    <row r="486" spans="1:7">
      <c r="A486" s="2">
        <v>46079</v>
      </c>
      <c r="B486" s="3">
        <v>272.95</v>
      </c>
      <c r="C486" s="3">
        <v>401.72</v>
      </c>
      <c r="D486" s="3">
        <v>307.16000000000003</v>
      </c>
      <c r="E486" s="4">
        <f t="shared" si="21"/>
        <v>-4.6676147759181323E-3</v>
      </c>
      <c r="F486" s="4">
        <f t="shared" si="23"/>
        <v>2.9820051413881807E-2</v>
      </c>
      <c r="G486" s="4">
        <f t="shared" si="22"/>
        <v>-1.7653831393117506E-2</v>
      </c>
    </row>
    <row r="487" spans="1:7">
      <c r="A487" s="2">
        <v>46080</v>
      </c>
      <c r="B487" s="3">
        <v>264.18</v>
      </c>
      <c r="C487" s="3">
        <v>392.74</v>
      </c>
      <c r="D487" s="3">
        <v>311.54000000000002</v>
      </c>
      <c r="E487" s="4">
        <f t="shared" si="21"/>
        <v>-3.2130426818098488E-2</v>
      </c>
      <c r="F487" s="4">
        <f t="shared" si="23"/>
        <v>2.7958062905641648E-3</v>
      </c>
      <c r="G487" s="4">
        <f t="shared" si="22"/>
        <v>1.4259669227764015E-2</v>
      </c>
    </row>
    <row r="488" spans="1:7">
      <c r="A488" s="2">
        <v>46083</v>
      </c>
      <c r="B488" s="3">
        <v>264.72000000000003</v>
      </c>
      <c r="C488" s="3">
        <v>398.55</v>
      </c>
      <c r="D488" s="3">
        <v>306.3</v>
      </c>
      <c r="E488" s="4">
        <f t="shared" si="21"/>
        <v>2.0440608675903566E-3</v>
      </c>
      <c r="F488" s="4">
        <f t="shared" si="23"/>
        <v>-2.235387832321024E-2</v>
      </c>
      <c r="G488" s="4">
        <f t="shared" si="22"/>
        <v>-1.6819670026320885E-2</v>
      </c>
    </row>
    <row r="489" spans="1:7">
      <c r="A489" s="2">
        <v>46084</v>
      </c>
      <c r="B489" s="3">
        <v>263.75</v>
      </c>
      <c r="C489" s="3">
        <v>403.93</v>
      </c>
      <c r="D489" s="3">
        <v>303.37</v>
      </c>
      <c r="E489" s="4">
        <f t="shared" si="21"/>
        <v>-3.6642490178302629E-3</v>
      </c>
      <c r="F489" s="4">
        <f t="shared" si="23"/>
        <v>1.4793502062433168E-2</v>
      </c>
      <c r="G489" s="4">
        <f t="shared" si="22"/>
        <v>-9.5657851779301552E-3</v>
      </c>
    </row>
    <row r="490" spans="1:7">
      <c r="A490" s="2">
        <v>46085</v>
      </c>
      <c r="B490" s="3">
        <v>262.52</v>
      </c>
      <c r="C490" s="3">
        <v>405.2</v>
      </c>
      <c r="D490" s="3">
        <v>302.92</v>
      </c>
      <c r="E490" s="4">
        <f t="shared" si="21"/>
        <v>-4.6635071090048085E-3</v>
      </c>
      <c r="F490" s="4">
        <f t="shared" si="23"/>
        <v>1.3498933634424778E-2</v>
      </c>
      <c r="G490" s="4">
        <f t="shared" si="22"/>
        <v>-1.4833371790222785E-3</v>
      </c>
    </row>
    <row r="491" spans="1:7">
      <c r="A491" s="2">
        <v>46086</v>
      </c>
      <c r="B491" s="3">
        <v>260.29000000000002</v>
      </c>
      <c r="C491" s="3">
        <v>410.68</v>
      </c>
      <c r="D491" s="3">
        <v>300.67</v>
      </c>
      <c r="E491" s="4">
        <f t="shared" si="21"/>
        <v>-8.4945908883131242E-3</v>
      </c>
      <c r="F491" s="4">
        <f t="shared" si="23"/>
        <v>3.1441091278191315E-3</v>
      </c>
      <c r="G491" s="4">
        <f t="shared" si="22"/>
        <v>-7.4277036841410267E-3</v>
      </c>
    </row>
    <row r="492" spans="1:7">
      <c r="A492" s="2">
        <v>46087</v>
      </c>
      <c r="B492" s="3">
        <v>257.45999999999998</v>
      </c>
      <c r="C492" s="3">
        <v>408.96</v>
      </c>
      <c r="D492" s="3">
        <v>298.31</v>
      </c>
      <c r="E492" s="4">
        <f t="shared" si="21"/>
        <v>-1.0872488378347384E-2</v>
      </c>
      <c r="F492" s="4">
        <f t="shared" si="23"/>
        <v>1.3524185587364309E-2</v>
      </c>
      <c r="G492" s="4">
        <f t="shared" si="22"/>
        <v>-7.849136927528564E-3</v>
      </c>
    </row>
    <row r="493" spans="1:7">
      <c r="A493" s="2">
        <v>46090</v>
      </c>
      <c r="B493" s="3">
        <v>259.88</v>
      </c>
      <c r="C493" s="3">
        <v>409.41</v>
      </c>
      <c r="D493" s="3">
        <v>306.36</v>
      </c>
      <c r="E493" s="4">
        <f t="shared" si="21"/>
        <v>9.3995183717859709E-3</v>
      </c>
      <c r="F493" s="4">
        <f t="shared" si="23"/>
        <v>-4.1881757085809566E-3</v>
      </c>
      <c r="G493" s="4">
        <f t="shared" si="22"/>
        <v>2.6985350809560563E-2</v>
      </c>
    </row>
    <row r="494" spans="1:7">
      <c r="A494" s="2">
        <v>46091</v>
      </c>
      <c r="B494" s="3">
        <v>260.83</v>
      </c>
      <c r="C494" s="3">
        <v>405.76</v>
      </c>
      <c r="D494" s="3">
        <v>307.04000000000002</v>
      </c>
      <c r="E494" s="4">
        <f t="shared" si="21"/>
        <v>3.6555333230721436E-3</v>
      </c>
      <c r="F494" s="4">
        <f t="shared" si="23"/>
        <v>1.1003521126761676E-3</v>
      </c>
      <c r="G494" s="4">
        <f t="shared" si="22"/>
        <v>2.2196109152631113E-3</v>
      </c>
    </row>
    <row r="495" spans="1:7">
      <c r="A495" s="2">
        <v>46092</v>
      </c>
      <c r="B495" s="3">
        <v>260.81</v>
      </c>
      <c r="C495" s="3">
        <v>404.88</v>
      </c>
      <c r="D495" s="3">
        <v>308.7</v>
      </c>
      <c r="E495" s="4">
        <f t="shared" si="21"/>
        <v>-7.6678296208188525E-5</v>
      </c>
      <c r="F495" s="4">
        <f t="shared" si="23"/>
        <v>-8.915268312938214E-3</v>
      </c>
      <c r="G495" s="4">
        <f t="shared" si="22"/>
        <v>5.4064616988013549E-3</v>
      </c>
    </row>
    <row r="496" spans="1:7">
      <c r="A496" s="2">
        <v>46093</v>
      </c>
      <c r="B496" s="3">
        <v>255.76</v>
      </c>
      <c r="C496" s="3">
        <v>401.86</v>
      </c>
      <c r="D496" s="3">
        <v>303.55</v>
      </c>
      <c r="E496" s="4">
        <f t="shared" si="21"/>
        <v>-1.9362754495609875E-2</v>
      </c>
      <c r="F496" s="4">
        <f t="shared" si="23"/>
        <v>-2.1687697160883168E-3</v>
      </c>
      <c r="G496" s="4">
        <f t="shared" si="22"/>
        <v>-1.6682863621639059E-2</v>
      </c>
    </row>
    <row r="497" spans="1:7">
      <c r="A497" s="2">
        <v>46094</v>
      </c>
      <c r="B497" s="3">
        <v>250.12</v>
      </c>
      <c r="C497" s="3">
        <v>395.55</v>
      </c>
      <c r="D497" s="3">
        <v>302.27999999999997</v>
      </c>
      <c r="E497" s="4">
        <f t="shared" si="21"/>
        <v>-2.2051923678448493E-2</v>
      </c>
      <c r="F497" s="4">
        <f t="shared" si="23"/>
        <v>-7.4590001975893645E-3</v>
      </c>
      <c r="G497" s="4">
        <f t="shared" si="22"/>
        <v>-4.1838247405700498E-3</v>
      </c>
    </row>
    <row r="498" spans="1:7">
      <c r="A498" s="2">
        <v>46097</v>
      </c>
      <c r="B498" s="3">
        <v>252.82</v>
      </c>
      <c r="C498" s="3">
        <v>399.95</v>
      </c>
      <c r="D498" s="3">
        <v>305.56</v>
      </c>
      <c r="E498" s="4">
        <f t="shared" si="21"/>
        <v>1.0794818487126134E-2</v>
      </c>
      <c r="F498" s="4">
        <f t="shared" si="23"/>
        <v>-1.5701985766187233E-2</v>
      </c>
      <c r="G498" s="4">
        <f t="shared" si="22"/>
        <v>1.0850866746063351E-2</v>
      </c>
    </row>
    <row r="499" spans="1:7">
      <c r="A499" s="2">
        <v>46098</v>
      </c>
      <c r="B499" s="3">
        <v>254.23</v>
      </c>
      <c r="C499" s="3">
        <v>399.41</v>
      </c>
      <c r="D499" s="3">
        <v>310.92</v>
      </c>
      <c r="E499" s="4">
        <f t="shared" si="21"/>
        <v>5.577090420061691E-3</v>
      </c>
      <c r="F499" s="4">
        <f t="shared" si="23"/>
        <v>1.1123751738086151E-2</v>
      </c>
      <c r="G499" s="4">
        <f t="shared" si="22"/>
        <v>1.7541563031810491E-2</v>
      </c>
    </row>
    <row r="500" spans="1:7">
      <c r="A500" s="2">
        <v>46099</v>
      </c>
      <c r="B500" s="3">
        <v>249.94</v>
      </c>
      <c r="C500" s="3">
        <v>391.79</v>
      </c>
      <c r="D500" s="3">
        <v>307.69</v>
      </c>
      <c r="E500" s="4">
        <f t="shared" si="21"/>
        <v>-1.6874483735200379E-2</v>
      </c>
      <c r="F500" s="4">
        <f t="shared" si="23"/>
        <v>-1.3501687710962961E-3</v>
      </c>
      <c r="G500" s="4">
        <f t="shared" si="22"/>
        <v>-1.0388524379261604E-2</v>
      </c>
    </row>
    <row r="501" spans="1:7">
      <c r="A501" s="2">
        <v>46100</v>
      </c>
      <c r="B501" s="3">
        <v>248.96</v>
      </c>
      <c r="C501" s="3">
        <v>389.02</v>
      </c>
      <c r="D501" s="3">
        <v>307.13</v>
      </c>
      <c r="E501" s="4">
        <f t="shared" si="21"/>
        <v>-3.9209410258461619E-3</v>
      </c>
      <c r="F501" s="4">
        <f t="shared" si="23"/>
        <v>-1.9078140256878907E-2</v>
      </c>
      <c r="G501" s="4">
        <f t="shared" si="22"/>
        <v>-1.8200136501023833E-3</v>
      </c>
    </row>
    <row r="502" spans="1:7">
      <c r="A502" s="2">
        <v>46101</v>
      </c>
      <c r="B502" s="3">
        <v>247.99</v>
      </c>
      <c r="C502" s="3">
        <v>381.87</v>
      </c>
      <c r="D502" s="3">
        <v>301</v>
      </c>
      <c r="E502" s="4">
        <f>(B502-B501)/B501</f>
        <v>-3.8962082262210748E-3</v>
      </c>
      <c r="F502" s="4">
        <f t="shared" si="23"/>
        <v>-7.0701140917329144E-3</v>
      </c>
      <c r="G502" s="4">
        <f t="shared" si="22"/>
        <v>-1.9958975026861576E-2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909B-A1C5-4507-86DD-B76EF231CC04}">
  <dimension ref="A1:D23"/>
  <sheetViews>
    <sheetView tabSelected="1" workbookViewId="0">
      <selection activeCell="G15" sqref="G15"/>
    </sheetView>
  </sheetViews>
  <sheetFormatPr defaultRowHeight="15"/>
  <cols>
    <col min="1" max="1" width="21.7109375" customWidth="1"/>
    <col min="4" max="4" width="10.85546875" bestFit="1" customWidth="1"/>
  </cols>
  <sheetData>
    <row r="1" spans="1:4">
      <c r="A1" s="7" t="s">
        <v>7</v>
      </c>
      <c r="B1" s="7" t="s">
        <v>1</v>
      </c>
      <c r="C1" s="7" t="s">
        <v>2</v>
      </c>
      <c r="D1" s="7" t="s">
        <v>3</v>
      </c>
    </row>
    <row r="2" spans="1:4">
      <c r="A2" t="s">
        <v>8</v>
      </c>
      <c r="B2">
        <f>data!B2</f>
        <v>169.82</v>
      </c>
      <c r="C2">
        <f>data!C2</f>
        <v>422.88</v>
      </c>
      <c r="D2">
        <f>data!D2</f>
        <v>146.38999999999999</v>
      </c>
    </row>
    <row r="3" spans="1:4">
      <c r="A3" t="s">
        <v>9</v>
      </c>
      <c r="B3" s="6">
        <f>data!B502</f>
        <v>247.99</v>
      </c>
      <c r="C3" s="6">
        <f>data!C502</f>
        <v>381.87</v>
      </c>
      <c r="D3" s="6">
        <f>data!D502</f>
        <v>301</v>
      </c>
    </row>
    <row r="4" spans="1:4">
      <c r="A4" t="s">
        <v>10</v>
      </c>
      <c r="B4" s="4">
        <f>(B3-B2)/B2</f>
        <v>0.46031091744199754</v>
      </c>
      <c r="C4" s="4">
        <f>(C3-C2)/C2</f>
        <v>-9.6977866061293966E-2</v>
      </c>
      <c r="D4" s="4">
        <f>(D3-D2)/D2</f>
        <v>1.0561513764601409</v>
      </c>
    </row>
    <row r="5" spans="1:4">
      <c r="A5" t="s">
        <v>11</v>
      </c>
      <c r="B5" s="4">
        <f>AVERAGE(data!E3:E502)</f>
        <v>9.1524819480241347E-4</v>
      </c>
      <c r="C5" s="4">
        <f>AVERAGE(data!F3:F502)</f>
        <v>-5.6307031224977974E-5</v>
      </c>
      <c r="D5" s="4">
        <f>AVERAGE(data!G3:G502)</f>
        <v>1.6156543194033295E-3</v>
      </c>
    </row>
    <row r="6" spans="1:4">
      <c r="A6" t="s">
        <v>12</v>
      </c>
      <c r="B6" s="4">
        <f>STDEV(data!E3:E502)</f>
        <v>1.786255987535092E-2</v>
      </c>
      <c r="C6" s="4">
        <f>STDEV(data!F3:F502)</f>
        <v>1.5062456170303998E-2</v>
      </c>
      <c r="D6" s="4">
        <f>STDEV(data!G3:G502)</f>
        <v>1.8677194870532758E-2</v>
      </c>
    </row>
    <row r="7" spans="1:4">
      <c r="A7" t="s">
        <v>13</v>
      </c>
      <c r="B7" s="4">
        <f>MAX(data!E3:E502)</f>
        <v>0.15331741131240184</v>
      </c>
      <c r="C7" s="4">
        <f>MAX(data!F3:F502)</f>
        <v>0.10131582686787728</v>
      </c>
      <c r="D7" s="4">
        <f>MAX(data!G3:G502)</f>
        <v>0.10224922440537741</v>
      </c>
    </row>
    <row r="8" spans="1:4">
      <c r="A8" t="s">
        <v>14</v>
      </c>
      <c r="B8" s="4">
        <f>MIN(data!E3:E502)</f>
        <v>-9.2454692266283806E-2</v>
      </c>
      <c r="C8" s="4">
        <f>MIN(data!F3:F502)</f>
        <v>-9.9931325827731843E-2</v>
      </c>
      <c r="D8" s="4">
        <f>MIN(data!G3:G502)</f>
        <v>-7.2920216132015853E-2</v>
      </c>
    </row>
    <row r="9" spans="1:4">
      <c r="A9" t="s">
        <v>15</v>
      </c>
      <c r="B9" s="4">
        <f>B5*252</f>
        <v>0.23064254509020821</v>
      </c>
      <c r="C9" s="4">
        <f>C5*252</f>
        <v>-1.4189371868694449E-2</v>
      </c>
      <c r="D9" s="4">
        <f>D5*252</f>
        <v>0.40714488848963903</v>
      </c>
    </row>
    <row r="10" spans="1:4">
      <c r="A10" t="s">
        <v>16</v>
      </c>
      <c r="B10" s="4">
        <f>B6*SQRT(252)</f>
        <v>0.2835593472550767</v>
      </c>
      <c r="C10" s="4">
        <f>C6*SQRT(252)</f>
        <v>0.23910907896260844</v>
      </c>
      <c r="D10" s="4">
        <f>D6*SQRT(252)</f>
        <v>0.29649127689432536</v>
      </c>
    </row>
    <row r="11" spans="1:4">
      <c r="A11" t="s">
        <v>17</v>
      </c>
      <c r="B11" s="6">
        <f>(B9-0.05)/B10</f>
        <v>0.63705374849699681</v>
      </c>
      <c r="C11" s="6">
        <f>(C9-0.05)/C10</f>
        <v>-0.26845225679921714</v>
      </c>
      <c r="D11" s="6">
        <f>(D9-0.05)/D10</f>
        <v>1.2045713190305147</v>
      </c>
    </row>
    <row r="12" spans="1:4">
      <c r="A12" t="s">
        <v>18</v>
      </c>
      <c r="B12" s="4">
        <f>COUNTIF(data!E3:E512,"&gt;"&amp;0)/512</f>
        <v>0.537109375</v>
      </c>
      <c r="C12" s="4">
        <f>COUNTIF(data!F3:F512,"&gt;"&amp;0)/512</f>
        <v>0.513671875</v>
      </c>
      <c r="D12" s="4">
        <f>COUNTIF(data!G3:G512,"&gt;"&amp;0)/512</f>
        <v>0.537109375</v>
      </c>
    </row>
    <row r="13" spans="1:4">
      <c r="A13" t="s">
        <v>19</v>
      </c>
      <c r="B13" s="4">
        <f>B4/B10</f>
        <v>1.623331841809903</v>
      </c>
      <c r="C13" s="4">
        <f>C4/C10</f>
        <v>-0.40558002432211798</v>
      </c>
      <c r="D13" s="4">
        <f>D4/D10</f>
        <v>3.5621667777989017</v>
      </c>
    </row>
    <row r="14" spans="1:4">
      <c r="A14" t="s">
        <v>20</v>
      </c>
      <c r="B14" s="4">
        <f>(MIN(data!B2:B502)-MAX(data!B2:B502))/MAX(data!B2:B502)</f>
        <v>-0.42812674874090662</v>
      </c>
      <c r="C14" s="4">
        <f>(MIN(data!C2:C502)-MAX(data!C2:C502))/MAX(data!C2:C502)</f>
        <v>-0.34818368745716249</v>
      </c>
      <c r="D14" s="4">
        <f>(MIN(data!D2:D502)-MAX(data!D2:D502))/MAX(data!D2:D502)</f>
        <v>-0.5801426699665162</v>
      </c>
    </row>
    <row r="20" spans="1:2">
      <c r="A20" s="7" t="s">
        <v>21</v>
      </c>
    </row>
    <row r="21" spans="1:2">
      <c r="A21" t="s">
        <v>22</v>
      </c>
      <c r="B21">
        <f>PEARSON(data!E3:E502,data!F3:F502)</f>
        <v>-4.0411793517172626E-2</v>
      </c>
    </row>
    <row r="22" spans="1:2">
      <c r="A22" t="s">
        <v>23</v>
      </c>
      <c r="B22">
        <f>PEARSON(data!E3:E502,data!G3:G502)</f>
        <v>0.42499483067328281</v>
      </c>
    </row>
    <row r="23" spans="1:2">
      <c r="A23" t="s">
        <v>24</v>
      </c>
      <c r="B23">
        <f>PEARSON(data!F3:F502,data!G3:G502)</f>
        <v>-2.5080852900956581E-2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2026-03-22T16:48:29Z</dcterms:created>
  <dcterms:modified xsi:type="dcterms:W3CDTF">2026-03-22T20:45:04Z</dcterms:modified>
  <cp:category/>
  <cp:contentStatus/>
</cp:coreProperties>
</file>